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ykara-a\Desktop\"/>
    </mc:Choice>
  </mc:AlternateContent>
  <xr:revisionPtr revIDLastSave="0" documentId="13_ncr:1_{5DE252B9-F138-44C3-81B5-BF90084206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Karşılaştırma" sheetId="1" r:id="rId1"/>
  </sheets>
  <definedNames>
    <definedName name="_xlnm._FilterDatabase" localSheetId="0" hidden="1">Karşılaştırma!$A$3:$U$221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Q4" i="1"/>
  <c r="T4" i="1" s="1"/>
  <c r="R4" i="1"/>
  <c r="Q5" i="1"/>
  <c r="R5" i="1"/>
  <c r="T5" i="1"/>
  <c r="Q6" i="1"/>
  <c r="R6" i="1"/>
  <c r="T6" i="1"/>
  <c r="Q7" i="1"/>
  <c r="R7" i="1"/>
  <c r="T7" i="1"/>
  <c r="Q8" i="1"/>
  <c r="T8" i="1" s="1"/>
  <c r="R8" i="1"/>
  <c r="Q9" i="1"/>
  <c r="R9" i="1"/>
  <c r="T9" i="1"/>
  <c r="Q10" i="1"/>
  <c r="R10" i="1"/>
  <c r="T10" i="1"/>
  <c r="Q11" i="1"/>
  <c r="R11" i="1"/>
  <c r="T11" i="1"/>
  <c r="Q12" i="1"/>
  <c r="T12" i="1" s="1"/>
  <c r="R12" i="1"/>
  <c r="Q13" i="1"/>
  <c r="R13" i="1"/>
  <c r="T13" i="1"/>
  <c r="Q14" i="1"/>
  <c r="R14" i="1"/>
  <c r="T14" i="1"/>
  <c r="Q15" i="1"/>
  <c r="R15" i="1"/>
  <c r="T15" i="1"/>
  <c r="Q16" i="1"/>
  <c r="T16" i="1" s="1"/>
  <c r="R16" i="1"/>
  <c r="Q17" i="1"/>
  <c r="R17" i="1"/>
  <c r="T17" i="1"/>
  <c r="Q18" i="1"/>
  <c r="R18" i="1"/>
  <c r="T18" i="1"/>
  <c r="Q19" i="1"/>
  <c r="R19" i="1"/>
  <c r="T19" i="1"/>
  <c r="Q20" i="1"/>
  <c r="T20" i="1" s="1"/>
  <c r="R20" i="1"/>
  <c r="Q21" i="1"/>
  <c r="R21" i="1"/>
  <c r="T21" i="1"/>
  <c r="Q22" i="1"/>
  <c r="R22" i="1"/>
  <c r="T22" i="1"/>
  <c r="Q23" i="1"/>
  <c r="R23" i="1"/>
  <c r="T23" i="1"/>
  <c r="Q24" i="1"/>
  <c r="T24" i="1" s="1"/>
  <c r="R24" i="1"/>
  <c r="Q25" i="1"/>
  <c r="R25" i="1"/>
  <c r="T25" i="1"/>
  <c r="Q26" i="1"/>
  <c r="R26" i="1"/>
  <c r="T26" i="1"/>
  <c r="Q27" i="1"/>
  <c r="R27" i="1"/>
  <c r="T27" i="1"/>
  <c r="Q28" i="1"/>
  <c r="T28" i="1" s="1"/>
  <c r="R28" i="1"/>
  <c r="Q29" i="1"/>
  <c r="R29" i="1"/>
  <c r="T29" i="1"/>
  <c r="Q30" i="1"/>
  <c r="R30" i="1"/>
  <c r="T30" i="1"/>
  <c r="Q31" i="1"/>
  <c r="R31" i="1"/>
  <c r="T31" i="1"/>
  <c r="Q32" i="1"/>
  <c r="T32" i="1" s="1"/>
  <c r="R32" i="1"/>
  <c r="Q33" i="1"/>
  <c r="R33" i="1"/>
  <c r="T33" i="1"/>
  <c r="Q34" i="1"/>
  <c r="R34" i="1"/>
  <c r="T34" i="1"/>
  <c r="Q35" i="1"/>
  <c r="R35" i="1"/>
  <c r="T35" i="1"/>
  <c r="Q36" i="1"/>
  <c r="T36" i="1" s="1"/>
  <c r="R36" i="1"/>
  <c r="Q37" i="1"/>
  <c r="R37" i="1"/>
  <c r="T37" i="1"/>
  <c r="Q38" i="1"/>
  <c r="R38" i="1"/>
  <c r="T38" i="1"/>
  <c r="Q39" i="1"/>
  <c r="R39" i="1"/>
  <c r="T39" i="1"/>
  <c r="Q40" i="1"/>
  <c r="T40" i="1" s="1"/>
  <c r="R40" i="1"/>
  <c r="Q41" i="1"/>
  <c r="R41" i="1"/>
  <c r="T41" i="1"/>
  <c r="Q42" i="1"/>
  <c r="R42" i="1"/>
  <c r="T42" i="1"/>
  <c r="Q43" i="1"/>
  <c r="R43" i="1"/>
  <c r="T43" i="1"/>
  <c r="Q44" i="1"/>
  <c r="T44" i="1" s="1"/>
  <c r="R44" i="1"/>
  <c r="Q45" i="1"/>
  <c r="R45" i="1"/>
  <c r="T45" i="1"/>
  <c r="Q46" i="1"/>
  <c r="R46" i="1"/>
  <c r="T46" i="1"/>
  <c r="Q47" i="1"/>
  <c r="R47" i="1"/>
  <c r="T47" i="1"/>
  <c r="Q48" i="1"/>
  <c r="T48" i="1" s="1"/>
  <c r="R48" i="1"/>
  <c r="Q49" i="1"/>
  <c r="R49" i="1"/>
  <c r="T49" i="1"/>
  <c r="Q50" i="1"/>
  <c r="R50" i="1"/>
  <c r="T50" i="1"/>
  <c r="Q51" i="1"/>
  <c r="R51" i="1"/>
  <c r="T51" i="1"/>
  <c r="Q52" i="1"/>
  <c r="T52" i="1" s="1"/>
  <c r="R52" i="1"/>
  <c r="Q53" i="1"/>
  <c r="R53" i="1"/>
  <c r="T53" i="1"/>
  <c r="Q54" i="1"/>
  <c r="R54" i="1"/>
  <c r="T54" i="1"/>
  <c r="Q55" i="1"/>
  <c r="R55" i="1"/>
  <c r="T55" i="1"/>
  <c r="Q56" i="1"/>
  <c r="T56" i="1" s="1"/>
  <c r="R56" i="1"/>
  <c r="Q57" i="1"/>
  <c r="R57" i="1"/>
  <c r="T57" i="1"/>
  <c r="Q58" i="1"/>
  <c r="R58" i="1"/>
  <c r="T58" i="1"/>
  <c r="Q59" i="1"/>
  <c r="R59" i="1"/>
  <c r="T59" i="1"/>
  <c r="Q60" i="1"/>
  <c r="T60" i="1" s="1"/>
  <c r="R60" i="1"/>
  <c r="Q61" i="1"/>
  <c r="R61" i="1"/>
  <c r="T61" i="1"/>
  <c r="Q62" i="1"/>
  <c r="R62" i="1"/>
  <c r="T62" i="1"/>
  <c r="Q63" i="1"/>
  <c r="R63" i="1"/>
  <c r="T63" i="1"/>
  <c r="Q64" i="1"/>
  <c r="T64" i="1" s="1"/>
  <c r="R64" i="1"/>
  <c r="Q65" i="1"/>
  <c r="R65" i="1"/>
  <c r="T65" i="1"/>
  <c r="Q66" i="1"/>
  <c r="R66" i="1"/>
  <c r="T66" i="1"/>
  <c r="Q67" i="1"/>
  <c r="R67" i="1"/>
  <c r="T67" i="1"/>
  <c r="Q68" i="1"/>
  <c r="T68" i="1" s="1"/>
  <c r="R68" i="1"/>
  <c r="Q69" i="1"/>
  <c r="R69" i="1"/>
  <c r="T69" i="1"/>
  <c r="Q70" i="1"/>
  <c r="R70" i="1"/>
  <c r="T70" i="1"/>
  <c r="Q71" i="1"/>
  <c r="R71" i="1"/>
  <c r="T71" i="1"/>
  <c r="Q72" i="1"/>
  <c r="T72" i="1" s="1"/>
  <c r="R72" i="1"/>
  <c r="Q73" i="1"/>
  <c r="R73" i="1"/>
  <c r="T73" i="1"/>
  <c r="Q74" i="1"/>
  <c r="R74" i="1"/>
  <c r="T74" i="1"/>
  <c r="Q75" i="1"/>
  <c r="R75" i="1"/>
  <c r="T75" i="1"/>
  <c r="Q76" i="1"/>
  <c r="T76" i="1" s="1"/>
  <c r="R76" i="1"/>
  <c r="Q77" i="1"/>
  <c r="R77" i="1"/>
  <c r="T77" i="1"/>
  <c r="Q78" i="1"/>
  <c r="R78" i="1"/>
  <c r="T78" i="1"/>
  <c r="Q79" i="1"/>
  <c r="R79" i="1"/>
  <c r="T79" i="1"/>
  <c r="Q80" i="1"/>
  <c r="T80" i="1" s="1"/>
  <c r="R80" i="1"/>
  <c r="Q81" i="1"/>
  <c r="R81" i="1"/>
  <c r="T81" i="1"/>
  <c r="Q82" i="1"/>
  <c r="R82" i="1"/>
  <c r="T82" i="1"/>
  <c r="Q83" i="1"/>
  <c r="R83" i="1"/>
  <c r="T83" i="1"/>
  <c r="Q84" i="1"/>
  <c r="T84" i="1" s="1"/>
  <c r="R84" i="1"/>
  <c r="Q85" i="1"/>
  <c r="R85" i="1"/>
  <c r="T85" i="1"/>
  <c r="Q86" i="1"/>
  <c r="R86" i="1"/>
  <c r="T86" i="1"/>
  <c r="Q87" i="1"/>
  <c r="R87" i="1"/>
  <c r="T87" i="1"/>
  <c r="Q88" i="1"/>
  <c r="T88" i="1" s="1"/>
  <c r="R88" i="1"/>
  <c r="Q89" i="1"/>
  <c r="R89" i="1"/>
  <c r="T89" i="1"/>
  <c r="Q90" i="1"/>
  <c r="R90" i="1"/>
  <c r="T90" i="1"/>
  <c r="Q91" i="1"/>
  <c r="R91" i="1"/>
  <c r="T91" i="1"/>
  <c r="Q92" i="1"/>
  <c r="T92" i="1" s="1"/>
  <c r="R92" i="1"/>
  <c r="Q93" i="1"/>
  <c r="R93" i="1"/>
  <c r="T93" i="1"/>
  <c r="Q94" i="1"/>
  <c r="R94" i="1"/>
  <c r="T94" i="1"/>
  <c r="Q95" i="1"/>
  <c r="R95" i="1"/>
  <c r="T95" i="1"/>
  <c r="Q96" i="1"/>
  <c r="T96" i="1" s="1"/>
  <c r="R96" i="1"/>
  <c r="Q97" i="1"/>
  <c r="R97" i="1"/>
  <c r="T97" i="1"/>
  <c r="Q98" i="1"/>
  <c r="R98" i="1"/>
  <c r="T98" i="1"/>
  <c r="Q99" i="1"/>
  <c r="R99" i="1"/>
  <c r="T99" i="1"/>
  <c r="Q100" i="1"/>
  <c r="T100" i="1" s="1"/>
  <c r="R100" i="1"/>
  <c r="Q101" i="1"/>
  <c r="R101" i="1"/>
  <c r="T101" i="1"/>
  <c r="Q102" i="1"/>
  <c r="R102" i="1"/>
  <c r="T102" i="1"/>
  <c r="Q103" i="1"/>
  <c r="R103" i="1"/>
  <c r="T103" i="1"/>
  <c r="Q104" i="1"/>
  <c r="T104" i="1" s="1"/>
  <c r="R104" i="1"/>
  <c r="Q105" i="1"/>
  <c r="R105" i="1"/>
  <c r="T105" i="1"/>
  <c r="Q106" i="1"/>
  <c r="R106" i="1"/>
  <c r="T106" i="1"/>
  <c r="Q107" i="1"/>
  <c r="R107" i="1"/>
  <c r="T107" i="1"/>
  <c r="Q108" i="1"/>
  <c r="T108" i="1" s="1"/>
  <c r="R108" i="1"/>
  <c r="Q109" i="1"/>
  <c r="R109" i="1"/>
  <c r="T109" i="1"/>
  <c r="Q110" i="1"/>
  <c r="R110" i="1"/>
  <c r="T110" i="1"/>
  <c r="Q111" i="1"/>
  <c r="R111" i="1"/>
  <c r="T111" i="1"/>
  <c r="Q112" i="1"/>
  <c r="T112" i="1" s="1"/>
  <c r="R112" i="1"/>
  <c r="Q113" i="1"/>
  <c r="R113" i="1"/>
  <c r="T113" i="1"/>
  <c r="Q114" i="1"/>
  <c r="R114" i="1"/>
  <c r="T114" i="1"/>
  <c r="Q115" i="1"/>
  <c r="R115" i="1"/>
  <c r="T115" i="1"/>
  <c r="Q116" i="1"/>
  <c r="T116" i="1" s="1"/>
  <c r="R116" i="1"/>
  <c r="Q117" i="1"/>
  <c r="R117" i="1"/>
  <c r="T117" i="1"/>
  <c r="Q118" i="1"/>
  <c r="R118" i="1"/>
  <c r="T118" i="1"/>
  <c r="Q119" i="1"/>
  <c r="R119" i="1"/>
  <c r="T119" i="1"/>
  <c r="Q120" i="1"/>
  <c r="T120" i="1" s="1"/>
  <c r="R120" i="1"/>
  <c r="Q121" i="1"/>
  <c r="R121" i="1"/>
  <c r="T121" i="1"/>
  <c r="Q122" i="1"/>
  <c r="R122" i="1"/>
  <c r="T122" i="1"/>
  <c r="Q123" i="1"/>
  <c r="R123" i="1"/>
  <c r="T123" i="1"/>
  <c r="Q124" i="1"/>
  <c r="T124" i="1" s="1"/>
  <c r="R124" i="1"/>
  <c r="Q125" i="1"/>
  <c r="R125" i="1"/>
  <c r="T125" i="1"/>
  <c r="Q126" i="1"/>
  <c r="R126" i="1"/>
  <c r="T126" i="1"/>
  <c r="Q127" i="1"/>
  <c r="R127" i="1"/>
  <c r="T127" i="1"/>
  <c r="Q128" i="1"/>
  <c r="T128" i="1" s="1"/>
  <c r="R128" i="1"/>
  <c r="Q129" i="1"/>
  <c r="R129" i="1"/>
  <c r="T129" i="1"/>
  <c r="Q130" i="1"/>
  <c r="R130" i="1"/>
  <c r="T130" i="1"/>
  <c r="Q131" i="1"/>
  <c r="R131" i="1"/>
  <c r="T131" i="1"/>
  <c r="Q132" i="1"/>
  <c r="T132" i="1" s="1"/>
  <c r="R132" i="1"/>
  <c r="Q133" i="1"/>
  <c r="R133" i="1"/>
  <c r="T133" i="1"/>
  <c r="Q134" i="1"/>
  <c r="R134" i="1"/>
  <c r="T134" i="1"/>
  <c r="Q135" i="1"/>
  <c r="R135" i="1"/>
  <c r="T135" i="1"/>
  <c r="Q136" i="1"/>
  <c r="T136" i="1" s="1"/>
  <c r="R136" i="1"/>
  <c r="Q137" i="1"/>
  <c r="R137" i="1"/>
  <c r="T137" i="1"/>
  <c r="Q138" i="1"/>
  <c r="R138" i="1"/>
  <c r="T138" i="1"/>
  <c r="Q139" i="1"/>
  <c r="R139" i="1"/>
  <c r="T139" i="1"/>
  <c r="Q140" i="1"/>
  <c r="T140" i="1" s="1"/>
  <c r="R140" i="1"/>
  <c r="Q141" i="1"/>
  <c r="R141" i="1"/>
  <c r="T141" i="1"/>
  <c r="Q142" i="1"/>
  <c r="R142" i="1"/>
  <c r="T142" i="1"/>
  <c r="Q143" i="1"/>
  <c r="R143" i="1"/>
  <c r="T143" i="1"/>
  <c r="Q144" i="1"/>
  <c r="T144" i="1" s="1"/>
  <c r="R144" i="1"/>
  <c r="Q145" i="1"/>
  <c r="R145" i="1"/>
  <c r="T145" i="1"/>
  <c r="Q146" i="1"/>
  <c r="R146" i="1"/>
  <c r="T146" i="1"/>
  <c r="Q147" i="1"/>
  <c r="R147" i="1"/>
  <c r="T147" i="1"/>
  <c r="Q148" i="1"/>
  <c r="T148" i="1" s="1"/>
  <c r="R148" i="1"/>
  <c r="Q149" i="1"/>
  <c r="R149" i="1"/>
  <c r="T149" i="1"/>
  <c r="Q150" i="1"/>
  <c r="R150" i="1"/>
  <c r="T150" i="1"/>
  <c r="Q151" i="1"/>
  <c r="R151" i="1"/>
  <c r="T151" i="1"/>
  <c r="Q152" i="1"/>
  <c r="T152" i="1" s="1"/>
  <c r="R152" i="1"/>
  <c r="Q153" i="1"/>
  <c r="R153" i="1"/>
  <c r="T153" i="1"/>
  <c r="Q154" i="1"/>
  <c r="R154" i="1"/>
  <c r="T154" i="1"/>
  <c r="Q155" i="1"/>
  <c r="R155" i="1"/>
  <c r="T155" i="1"/>
  <c r="Q156" i="1"/>
  <c r="T156" i="1" s="1"/>
  <c r="R156" i="1"/>
  <c r="Q157" i="1"/>
  <c r="R157" i="1"/>
  <c r="T157" i="1"/>
  <c r="Q158" i="1"/>
  <c r="R158" i="1"/>
  <c r="T158" i="1"/>
  <c r="Q159" i="1"/>
  <c r="R159" i="1"/>
  <c r="T159" i="1"/>
  <c r="Q160" i="1"/>
  <c r="T160" i="1" s="1"/>
  <c r="R160" i="1"/>
  <c r="Q161" i="1"/>
  <c r="R161" i="1"/>
  <c r="T161" i="1"/>
  <c r="Q162" i="1"/>
  <c r="R162" i="1"/>
  <c r="T162" i="1"/>
  <c r="Q163" i="1"/>
  <c r="R163" i="1"/>
  <c r="T163" i="1"/>
  <c r="Q164" i="1"/>
  <c r="T164" i="1" s="1"/>
  <c r="R164" i="1"/>
  <c r="Q165" i="1"/>
  <c r="R165" i="1"/>
  <c r="T165" i="1"/>
  <c r="Q166" i="1"/>
  <c r="R166" i="1"/>
  <c r="T166" i="1"/>
  <c r="Q167" i="1"/>
  <c r="R167" i="1"/>
  <c r="T167" i="1"/>
  <c r="Q168" i="1"/>
  <c r="T168" i="1" s="1"/>
  <c r="R168" i="1"/>
  <c r="Q169" i="1"/>
  <c r="R169" i="1"/>
  <c r="T169" i="1"/>
  <c r="Q170" i="1"/>
  <c r="R170" i="1"/>
  <c r="T170" i="1"/>
  <c r="Q171" i="1"/>
  <c r="R171" i="1"/>
  <c r="T171" i="1"/>
  <c r="Q172" i="1"/>
  <c r="T172" i="1" s="1"/>
  <c r="R172" i="1"/>
  <c r="Q173" i="1"/>
  <c r="R173" i="1"/>
  <c r="T173" i="1"/>
  <c r="Q174" i="1"/>
  <c r="R174" i="1"/>
  <c r="T174" i="1"/>
  <c r="Q175" i="1"/>
  <c r="R175" i="1"/>
  <c r="T175" i="1"/>
  <c r="Q176" i="1"/>
  <c r="R176" i="1"/>
  <c r="T176" i="1" s="1"/>
  <c r="Q177" i="1"/>
  <c r="R177" i="1"/>
  <c r="T177" i="1"/>
  <c r="Q178" i="1"/>
  <c r="R178" i="1"/>
  <c r="T178" i="1"/>
  <c r="Q179" i="1"/>
  <c r="R179" i="1"/>
  <c r="T179" i="1"/>
  <c r="Q180" i="1"/>
  <c r="R180" i="1"/>
  <c r="T180" i="1" s="1"/>
  <c r="Q181" i="1"/>
  <c r="R181" i="1"/>
  <c r="T181" i="1"/>
  <c r="Q182" i="1"/>
  <c r="R182" i="1"/>
  <c r="T182" i="1"/>
  <c r="Q183" i="1"/>
  <c r="R183" i="1"/>
  <c r="T183" i="1"/>
  <c r="Q184" i="1"/>
  <c r="R184" i="1"/>
  <c r="T184" i="1" s="1"/>
  <c r="Q185" i="1"/>
  <c r="R185" i="1"/>
  <c r="T185" i="1"/>
  <c r="Q186" i="1"/>
  <c r="R186" i="1"/>
  <c r="T186" i="1"/>
  <c r="Q187" i="1"/>
  <c r="R187" i="1"/>
  <c r="T187" i="1"/>
  <c r="Q188" i="1"/>
  <c r="R188" i="1"/>
  <c r="T188" i="1" s="1"/>
  <c r="Q189" i="1"/>
  <c r="R189" i="1"/>
  <c r="T189" i="1"/>
  <c r="Q190" i="1"/>
  <c r="R190" i="1"/>
  <c r="T190" i="1"/>
  <c r="Q191" i="1"/>
  <c r="R191" i="1"/>
  <c r="T191" i="1"/>
  <c r="Q192" i="1"/>
  <c r="R192" i="1"/>
  <c r="T192" i="1" s="1"/>
  <c r="Q193" i="1"/>
  <c r="R193" i="1"/>
  <c r="T193" i="1"/>
  <c r="Q194" i="1"/>
  <c r="R194" i="1"/>
  <c r="T194" i="1"/>
  <c r="Q195" i="1"/>
  <c r="R195" i="1"/>
  <c r="T195" i="1"/>
  <c r="Q196" i="1"/>
  <c r="T196" i="1" s="1"/>
  <c r="R196" i="1"/>
  <c r="Q197" i="1"/>
  <c r="R197" i="1"/>
  <c r="T197" i="1"/>
  <c r="Q198" i="1"/>
  <c r="R198" i="1"/>
  <c r="T198" i="1"/>
  <c r="Q199" i="1"/>
  <c r="R199" i="1"/>
  <c r="T199" i="1"/>
  <c r="Q200" i="1"/>
  <c r="T200" i="1" s="1"/>
  <c r="R200" i="1"/>
  <c r="Q201" i="1"/>
  <c r="R201" i="1"/>
  <c r="T201" i="1"/>
  <c r="Q202" i="1"/>
  <c r="R202" i="1"/>
  <c r="T202" i="1"/>
  <c r="Q203" i="1"/>
  <c r="R203" i="1"/>
  <c r="T203" i="1"/>
  <c r="Q204" i="1"/>
  <c r="T204" i="1" s="1"/>
  <c r="R204" i="1"/>
  <c r="Q205" i="1"/>
  <c r="R205" i="1"/>
  <c r="T205" i="1"/>
  <c r="Q206" i="1"/>
  <c r="R206" i="1"/>
  <c r="T206" i="1"/>
  <c r="Q207" i="1"/>
  <c r="R207" i="1"/>
  <c r="T207" i="1"/>
  <c r="Q208" i="1"/>
  <c r="T208" i="1" s="1"/>
  <c r="R208" i="1"/>
  <c r="Q209" i="1"/>
  <c r="R209" i="1"/>
  <c r="T209" i="1"/>
  <c r="Q210" i="1"/>
  <c r="R210" i="1"/>
  <c r="T210" i="1"/>
  <c r="Q211" i="1"/>
  <c r="R211" i="1"/>
  <c r="T211" i="1"/>
  <c r="Q212" i="1"/>
  <c r="T212" i="1" s="1"/>
  <c r="R212" i="1"/>
  <c r="Q213" i="1"/>
  <c r="R213" i="1"/>
  <c r="T213" i="1"/>
  <c r="Q214" i="1"/>
  <c r="R214" i="1"/>
  <c r="T214" i="1"/>
  <c r="Q215" i="1"/>
  <c r="R215" i="1"/>
  <c r="T215" i="1"/>
  <c r="Q216" i="1"/>
  <c r="T216" i="1" s="1"/>
  <c r="R216" i="1"/>
  <c r="Q217" i="1"/>
  <c r="R217" i="1"/>
  <c r="T217" i="1"/>
  <c r="Q218" i="1"/>
  <c r="R218" i="1"/>
  <c r="T218" i="1"/>
  <c r="Q219" i="1"/>
  <c r="R219" i="1"/>
  <c r="T219" i="1"/>
  <c r="Q220" i="1"/>
  <c r="T220" i="1" s="1"/>
  <c r="R220" i="1"/>
  <c r="Q221" i="1"/>
  <c r="R221" i="1"/>
  <c r="T221" i="1"/>
  <c r="Q222" i="1"/>
  <c r="R222" i="1"/>
  <c r="T222" i="1" s="1"/>
  <c r="Q224" i="1"/>
  <c r="T224" i="1" s="1"/>
  <c r="R224" i="1"/>
  <c r="Q225" i="1"/>
  <c r="R225" i="1"/>
  <c r="T225" i="1"/>
  <c r="Q226" i="1"/>
  <c r="R226" i="1"/>
  <c r="T226" i="1" s="1"/>
  <c r="Q227" i="1"/>
  <c r="T227" i="1" s="1"/>
  <c r="R227" i="1"/>
  <c r="Q228" i="1"/>
  <c r="R228" i="1"/>
  <c r="T228" i="1"/>
  <c r="Q229" i="1"/>
  <c r="R229" i="1"/>
  <c r="T229" i="1" s="1"/>
  <c r="Q230" i="1"/>
  <c r="R230" i="1"/>
  <c r="Q231" i="1"/>
  <c r="R231" i="1"/>
  <c r="Q232" i="1"/>
  <c r="R232" i="1"/>
  <c r="T232" i="1" s="1"/>
  <c r="Q233" i="1"/>
  <c r="R233" i="1"/>
  <c r="Q234" i="1"/>
  <c r="R234" i="1"/>
  <c r="T234" i="1"/>
  <c r="Q235" i="1"/>
  <c r="R235" i="1"/>
  <c r="T235" i="1" s="1"/>
  <c r="Q236" i="1"/>
  <c r="R236" i="1"/>
  <c r="Q237" i="1"/>
  <c r="R237" i="1"/>
  <c r="T237" i="1"/>
  <c r="Q238" i="1"/>
  <c r="R238" i="1"/>
  <c r="T238" i="1" s="1"/>
  <c r="Q239" i="1"/>
  <c r="T239" i="1" s="1"/>
  <c r="R239" i="1"/>
  <c r="Q240" i="1"/>
  <c r="R240" i="1"/>
  <c r="T240" i="1"/>
  <c r="Q241" i="1"/>
  <c r="R241" i="1"/>
  <c r="T241" i="1" s="1"/>
  <c r="Q242" i="1"/>
  <c r="R242" i="1"/>
  <c r="Q243" i="1"/>
  <c r="R243" i="1"/>
  <c r="Q244" i="1"/>
  <c r="R244" i="1"/>
  <c r="T244" i="1" s="1"/>
  <c r="Q245" i="1"/>
  <c r="R245" i="1"/>
  <c r="Q246" i="1"/>
  <c r="R246" i="1"/>
  <c r="T246" i="1"/>
  <c r="Q247" i="1"/>
  <c r="R247" i="1"/>
  <c r="T247" i="1" s="1"/>
  <c r="Q248" i="1"/>
  <c r="R248" i="1"/>
  <c r="Q249" i="1"/>
  <c r="R249" i="1"/>
  <c r="T249" i="1"/>
  <c r="Q250" i="1"/>
  <c r="R250" i="1"/>
  <c r="T250" i="1" s="1"/>
  <c r="Q251" i="1"/>
  <c r="T251" i="1" s="1"/>
  <c r="R251" i="1"/>
  <c r="Q252" i="1"/>
  <c r="R252" i="1"/>
  <c r="T252" i="1"/>
  <c r="H192" i="1"/>
  <c r="H193" i="1"/>
  <c r="H218" i="1"/>
  <c r="H220" i="1"/>
  <c r="H22" i="1"/>
  <c r="H23" i="1"/>
  <c r="H39" i="1"/>
  <c r="H42" i="1"/>
  <c r="H44" i="1"/>
  <c r="H47" i="1"/>
  <c r="H48" i="1"/>
  <c r="H63" i="1"/>
  <c r="H80" i="1"/>
  <c r="H104" i="1"/>
  <c r="H106" i="1"/>
  <c r="H108" i="1"/>
  <c r="H114" i="1"/>
  <c r="H115" i="1"/>
  <c r="H127" i="1"/>
  <c r="H139" i="1"/>
  <c r="H141" i="1"/>
  <c r="H142" i="1"/>
  <c r="H144" i="1"/>
  <c r="H152" i="1"/>
  <c r="H153" i="1"/>
  <c r="H154" i="1"/>
  <c r="H157" i="1"/>
  <c r="H159" i="1"/>
  <c r="H160" i="1"/>
  <c r="H166" i="1"/>
  <c r="H170" i="1"/>
  <c r="H182" i="1"/>
  <c r="H191" i="1"/>
  <c r="T230" i="1" l="1"/>
  <c r="T245" i="1"/>
  <c r="T248" i="1"/>
  <c r="T236" i="1"/>
  <c r="T242" i="1"/>
  <c r="T243" i="1"/>
  <c r="T231" i="1"/>
  <c r="T2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2" authorId="0" shapeId="0" xr:uid="{00000000-0006-0000-0000-000001000000}">
      <text>
        <r>
          <rPr>
            <sz val="10"/>
            <rFont val="Arial"/>
            <family val="2"/>
          </rPr>
          <t>YUEM kağıtları toplandı:
Orijinal satır 12: 514 (kağıt no 2)
Orijinal satır 71: 500 (kağıt no 8)</t>
        </r>
      </text>
    </comment>
    <comment ref="H23" authorId="0" shapeId="0" xr:uid="{00000000-0006-0000-0000-000002000000}">
      <text>
        <r>
          <rPr>
            <sz val="10"/>
            <rFont val="Arial"/>
            <family val="2"/>
          </rPr>
          <t>YUEM kağıtları toplandı:
Orijinal satır 44: 301.863 (kağıt no 4)
Orijinal satır 70: 98.14 (kağıt no 8)</t>
        </r>
      </text>
    </comment>
    <comment ref="H47" authorId="0" shapeId="0" xr:uid="{00000000-0006-0000-0000-000003000000}">
      <text>
        <r>
          <rPr>
            <sz val="10"/>
            <rFont val="Arial"/>
            <family val="2"/>
          </rPr>
          <t>YUEM kağıtları toplandı:
Orijinal satır 21: 64 (kağıt no 3)
Orijinal satır 64: 42 (kağıt no 8)</t>
        </r>
      </text>
    </comment>
    <comment ref="H80" authorId="0" shapeId="0" xr:uid="{00000000-0006-0000-0000-000004000000}">
      <text>
        <r>
          <rPr>
            <sz val="10"/>
            <rFont val="Arial"/>
            <family val="2"/>
          </rPr>
          <t>YUEM kağıtları toplandı:
Orijinal satır 36: 20 (kağıt no 4)
Orijinal satır 72: 5 (kağıt no 8)</t>
        </r>
      </text>
    </comment>
    <comment ref="H114" authorId="0" shapeId="0" xr:uid="{00000000-0006-0000-0000-000005000000}">
      <text>
        <r>
          <rPr>
            <sz val="10"/>
            <rFont val="Arial"/>
            <family val="2"/>
          </rPr>
          <t>YUEM kağıtları toplandı:
Orijinal satır 17: 30 (kağıt no 2)
Orijinal satır 73: 2 (kağıt no 8)</t>
        </r>
      </text>
    </comment>
    <comment ref="H127" authorId="0" shapeId="0" xr:uid="{00000000-0006-0000-0000-000006000000}">
      <text>
        <r>
          <rPr>
            <sz val="10"/>
            <rFont val="Arial"/>
            <family val="2"/>
          </rPr>
          <t>YUEM kağıtları toplandı:
Orijinal satır 55: 8 (kağıt no 5)
Orijinal satır 102: 4 (kağıt no 10)</t>
        </r>
      </text>
    </comment>
    <comment ref="H139" authorId="0" shapeId="0" xr:uid="{00000000-0006-0000-0000-000007000000}">
      <text>
        <r>
          <rPr>
            <sz val="10"/>
            <rFont val="Arial"/>
            <family val="2"/>
          </rPr>
          <t>YUEM kağıtları toplandı:
Orijinal satır 58: 8 (kağıt no 5)
Orijinal satır 100: 3 (kağıt no 10)</t>
        </r>
      </text>
    </comment>
    <comment ref="H160" authorId="0" shapeId="0" xr:uid="{00000000-0006-0000-0000-000008000000}">
      <text>
        <r>
          <rPr>
            <sz val="10"/>
            <rFont val="Arial"/>
            <family val="2"/>
          </rPr>
          <t>YUEM kağıtları toplandı:
Orijinal satır 47: 1 (kağıt no 4)
Orijinal satır 65: 1 (kağıt no 8)</t>
        </r>
      </text>
    </comment>
    <comment ref="H166" authorId="0" shapeId="0" xr:uid="{00000000-0006-0000-0000-000009000000}">
      <text>
        <r>
          <rPr>
            <sz val="10"/>
            <rFont val="Arial"/>
            <family val="2"/>
          </rPr>
          <t>YUEM kağıtları toplandı:
Orijinal satır 10: 1 (kağıt no 2)
Orijinal satır 105: 1 (kağıt no 10)</t>
        </r>
      </text>
    </comment>
    <comment ref="H182" authorId="0" shapeId="0" xr:uid="{00000000-0006-0000-0000-00000A000000}">
      <text>
        <r>
          <rPr>
            <sz val="10"/>
            <rFont val="Arial"/>
            <family val="2"/>
          </rPr>
          <t>YUEM kağıtları toplandı:
Orijinal satır 15: 900 (kağıt no 2)
Orijinal satır 63: 2320 (kağıt no 6)</t>
        </r>
      </text>
    </comment>
    <comment ref="H191" authorId="0" shapeId="0" xr:uid="{00000000-0006-0000-0000-00000B000000}">
      <text>
        <r>
          <rPr>
            <sz val="10"/>
            <rFont val="Arial"/>
            <family val="2"/>
          </rPr>
          <t>YUEM kağıtları toplandı:
Orijinal satır 42: 410 (kağıt no 4)
Orijinal satır 66: 12 (kağıt no 8)</t>
        </r>
      </text>
    </comment>
    <comment ref="H192" authorId="0" shapeId="0" xr:uid="{00000000-0006-0000-0000-00000C000000}">
      <text>
        <r>
          <rPr>
            <sz val="10"/>
            <rFont val="Arial"/>
            <family val="2"/>
          </rPr>
          <t>YUEM kağıtları toplandı:
Orijinal satır 28: 280 (kağıt no 3)
Orijinal satır 67: 125 (kağıt no 8)</t>
        </r>
      </text>
    </comment>
    <comment ref="H193" authorId="0" shapeId="0" xr:uid="{00000000-0006-0000-0000-00000D000000}">
      <text>
        <r>
          <rPr>
            <sz val="10"/>
            <rFont val="Arial"/>
            <family val="2"/>
          </rPr>
          <t>YUEM kağıtları toplandı:
Orijinal satır 29: 75 (kağıt no 3)
Orijinal satır 68: 49 (kağıt no 8)</t>
        </r>
      </text>
    </comment>
    <comment ref="H218" authorId="0" shapeId="0" xr:uid="{00000000-0006-0000-0000-00000E000000}">
      <text>
        <r>
          <rPr>
            <sz val="10"/>
            <rFont val="Arial"/>
            <family val="2"/>
          </rPr>
          <t>YUEM kağıtları toplandı:
Orijinal satır 11: 298 (kağıt no 2)
Orijinal satır 69: 102 (kağıt no 8)</t>
        </r>
      </text>
    </comment>
    <comment ref="H220" authorId="0" shapeId="0" xr:uid="{00000000-0006-0000-0000-00000F000000}">
      <text>
        <r>
          <rPr>
            <sz val="10"/>
            <rFont val="Arial"/>
            <family val="2"/>
          </rPr>
          <t>YUEM kağıtları toplandı:
Orijinal satır 6: 19 (kağıt no 1)
Orijinal satır 16: 2 (kağıt no 2)</t>
        </r>
      </text>
    </comment>
  </commentList>
</comments>
</file>

<file path=xl/sharedStrings.xml><?xml version="1.0" encoding="utf-8"?>
<sst xmlns="http://schemas.openxmlformats.org/spreadsheetml/2006/main" count="2018" uniqueCount="703">
  <si>
    <t>ÖN MUTABAKAT / ПРЕДВАРИТЕЛЬНАЯ СВЕРКА</t>
  </si>
  <si>
    <t>BYKARA TESLİM ALINAN / ПРИНЯТО BYKARA</t>
  </si>
  <si>
    <t>YUEM KAĞITLARI / ДОКУМЕНТЫ YUEM</t>
  </si>
  <si>
    <t>YUEM KAĞITLARI KONTROLÜ / ПРОВЕРКА ДОКУМЕНТОВ YUEM</t>
  </si>
  <si>
    <t>Not / Açıklama / Примечание</t>
  </si>
  <si>
    <t>Malzeme İsmi / Наименование материала</t>
  </si>
  <si>
    <t>Malzeme Kodu / Код материала</t>
  </si>
  <si>
    <t>Birimi / Ед. изм.</t>
  </si>
  <si>
    <t>Alınmış Olduğu Miktar / Полученное количество</t>
  </si>
  <si>
    <t>Hangi Şartname İçin Alındığı / Для спецификации</t>
  </si>
  <si>
    <t>Hangi Siparişlerle Alındığı / Номера заказов</t>
  </si>
  <si>
    <t>Kağıtta Yazan Miktar / Количество по документу</t>
  </si>
  <si>
    <t>Yerleşim Kodları / Коды размещения</t>
  </si>
  <si>
    <t>Çekildiği Şartname / Спецификация</t>
  </si>
  <si>
    <t>Kağıt Sıra No / Порядковый № документа</t>
  </si>
  <si>
    <t>BYKARA Ambarı (Teslim Alınan) / Склад BYKARA (принято)</t>
  </si>
  <si>
    <t>YUEM Kağıtları / Документы YUEM</t>
  </si>
  <si>
    <t>Faturalandırılabilme Sonucu / Результат для выставления счёта</t>
  </si>
  <si>
    <t>Щиток освещения ПР-06-40-01-13-T3 / Lighting board PR-06-40-01-13-T3</t>
  </si>
  <si>
    <t>00UYB10GP001F</t>
  </si>
  <si>
    <t>шт. / pcs</t>
  </si>
  <si>
    <t>AKU.0130.00UYB.0.EW.LH0001</t>
  </si>
  <si>
    <t>YGE2026000000016</t>
  </si>
  <si>
    <t>9</t>
  </si>
  <si>
    <t>00UYB10GP001N</t>
  </si>
  <si>
    <t>00UYB10GP002N</t>
  </si>
  <si>
    <t>00UYB14GP001E</t>
  </si>
  <si>
    <t>шт. /pcs</t>
  </si>
  <si>
    <t>00UYB14GP001F</t>
  </si>
  <si>
    <t>22092026-1</t>
  </si>
  <si>
    <t>13</t>
  </si>
  <si>
    <t>00UYB14GP001N</t>
  </si>
  <si>
    <t>00UYB14GP002N</t>
  </si>
  <si>
    <t>00UYB18GP001F</t>
  </si>
  <si>
    <t>00UYB18GP001N</t>
  </si>
  <si>
    <t>00UYB18GP002E</t>
  </si>
  <si>
    <t>00UYB18GP002N</t>
  </si>
  <si>
    <t>00UYB22GP001F</t>
  </si>
  <si>
    <t>01062026</t>
  </si>
  <si>
    <t>2</t>
  </si>
  <si>
    <t>00UYB22GP001N</t>
  </si>
  <si>
    <t>00UYB22GP002E</t>
  </si>
  <si>
    <t>00UYB22GP002N</t>
  </si>
  <si>
    <t>00UYB25GP001F</t>
  </si>
  <si>
    <t>00UYB25GP001N</t>
  </si>
  <si>
    <t>00UYB25GP002E</t>
  </si>
  <si>
    <t>110X110X74 Termoplastik Buat / Коробка распределительная 110*110*74</t>
  </si>
  <si>
    <t>001 046 071010 00 17</t>
  </si>
  <si>
    <t>05052026
06072026</t>
  </si>
  <si>
    <t>2, 8</t>
  </si>
  <si>
    <t>Полоса стальная горячекатаная оцинкованная 4х25 / Hot-rolled galvanized steel strip; 4х25</t>
  </si>
  <si>
    <t>4х25-VT1-VSh1-ON-VC</t>
  </si>
  <si>
    <t>м /m</t>
  </si>
  <si>
    <t>28042026
01062026
16062026-1</t>
  </si>
  <si>
    <t>4, 8</t>
  </si>
  <si>
    <t>Наконечник кабельный / Cable terminal end 16-6-6-М-УХЛ3/16-6-6-M-UHLZ</t>
  </si>
  <si>
    <t>16-6-6-M-UHLZ</t>
  </si>
  <si>
    <t>шт. /pcs.</t>
  </si>
  <si>
    <t>AKU.0130.00UYB.0.EM.TB0002</t>
  </si>
  <si>
    <t>02032026/1
04062026
09062026/2</t>
  </si>
  <si>
    <t>Поворот горизонтальный LOE55 FE-90-400-R300 HDG C2 / Flat Elbow LOE55 FE-90-400-R300 HDG C2</t>
  </si>
  <si>
    <t>121319</t>
  </si>
  <si>
    <t>AKU.0120.00UKS.0.EK.TB0001</t>
  </si>
  <si>
    <t>29032026</t>
  </si>
  <si>
    <t>Поворот Т-образный LOE55 ТЕ-400-R300 HDG C2 / T-piece LOE55 ТЕ-400-R300 HDG C2</t>
  </si>
  <si>
    <t>121329</t>
  </si>
  <si>
    <t>Лоток кабельный SPB-RF100 CT-U-100-3000 HDG C2 / Cable Tray SPB-RF100 CT-U-100-3000 HDG C2</t>
  </si>
  <si>
    <t>121368</t>
  </si>
  <si>
    <t>шт. / pcs.</t>
  </si>
  <si>
    <t>06032026
12032026
13032026
01042026
06042026
07042026
13042026</t>
  </si>
  <si>
    <t>Лоток кабельный SPB-RF100 CT-U-200-3000 HDG C2 / Cable Tray SPB-RF100 CT-U-200-3000 HDG C2</t>
  </si>
  <si>
    <t>121370</t>
  </si>
  <si>
    <t>06032026
12032026
13032026
01042026
07042026
13042026</t>
  </si>
  <si>
    <t>Соединитель стыковой SPB-RF100 SC HDG C2 / Splicing connector SPB-RF100 SC HDG C2</t>
  </si>
  <si>
    <t>121389</t>
  </si>
  <si>
    <t>12032026
07042026</t>
  </si>
  <si>
    <t>Зажим для крышки SPB-RF75 CC HDG C4 / Cover clamp SPB-RF75 CC HDG C4</t>
  </si>
  <si>
    <t>121491</t>
  </si>
  <si>
    <t>AKU.0179.00UYB.0.EK.TB0002</t>
  </si>
  <si>
    <t>04032026
21042026/2
16062026</t>
  </si>
  <si>
    <t>04032026
21042026
16062026</t>
  </si>
  <si>
    <t>AKU.0179.00UYB.0.EK.TB0003</t>
  </si>
  <si>
    <t>17062026</t>
  </si>
  <si>
    <t>шт/psc.</t>
  </si>
  <si>
    <t>Соединитель стыковой SPB SC 85X200 HDG C4 / Splice connector SPB SC 85X200 HDG C4</t>
  </si>
  <si>
    <t>121504</t>
  </si>
  <si>
    <t>27022026
21042026/2
16062026</t>
  </si>
  <si>
    <t>27022026
21042026
16062026</t>
  </si>
  <si>
    <t xml:space="preserve">Соединитель стыковой SPB SC 85X200 HDG C4 / Splice connector SPB SC 85X200 HDG C4
</t>
  </si>
  <si>
    <t>Шарнир вертикальный LOE55 HI-VE HDG C4 / Hinge Vertical LOE55 HI-VE HDG C4</t>
  </si>
  <si>
    <t>121506</t>
  </si>
  <si>
    <t>21042026/2</t>
  </si>
  <si>
    <t>3</t>
  </si>
  <si>
    <t>Крышка SPB CO-FE-90-200 R75 HDG C4 / Cover SPB CO-FE-90-200 R75 HDG C4</t>
  </si>
  <si>
    <t>121509</t>
  </si>
  <si>
    <t>04032026</t>
  </si>
  <si>
    <t>Крышка SPB CO-FE-90-400 R75 HDG C4 / Cover SPB CO-FE-90-400 R75 HDG C4</t>
  </si>
  <si>
    <t>121511</t>
  </si>
  <si>
    <t>04032026
21042026/2</t>
  </si>
  <si>
    <t>04032026
21042026</t>
  </si>
  <si>
    <t>Соединитель стыковой LOE55 SC HDG C4 / Splice connector LOE55 SC HDG C4</t>
  </si>
  <si>
    <t>121543</t>
  </si>
  <si>
    <t>Соединитель стыковой LOE55 SC HDG C4 / Splice connector LOE55 SC HDG C4
Hilti</t>
  </si>
  <si>
    <t>Поворот горизонтальный LOE55 FE-90-400-R300 HDG C4 / Flat Elbow LOE55 FE-90-400-R300 HDG C4</t>
  </si>
  <si>
    <t>121547</t>
  </si>
  <si>
    <t>21042026/2
16062026
NO3</t>
  </si>
  <si>
    <t>21042026
16062026
АПП №3 от 04.09.2026</t>
  </si>
  <si>
    <t>Поворот Т-образный LOE55 ТЕ-400-R300 HDG C4 / T-piece LOE55 ТЕ-400-R300 HDG C4</t>
  </si>
  <si>
    <t>121557</t>
  </si>
  <si>
    <t>21042026/2
NO3</t>
  </si>
  <si>
    <t>21042026
АПП №3 от 04.09.2026</t>
  </si>
  <si>
    <t>Поворот Х-образный LOE55 CP-400-R300 HDG C4 / X-piece LOE55 CP-400-R300 HDG C4</t>
  </si>
  <si>
    <t>121567</t>
  </si>
  <si>
    <t>Крышка SPB CO-CT-200-3000 HDG C4 / Cover SPB CO-CT-200-3000 HDG C4</t>
  </si>
  <si>
    <t>121577</t>
  </si>
  <si>
    <t>м / m</t>
  </si>
  <si>
    <t>03032026
21042026/2
16062026</t>
  </si>
  <si>
    <t>м</t>
  </si>
  <si>
    <t>03032026
21042026
16062026</t>
  </si>
  <si>
    <t>Крышка SPB CO-CT-400-3000 HDG C4 / Cover SPB CO-CT-400-3000 HDG C4</t>
  </si>
  <si>
    <t>121579</t>
  </si>
  <si>
    <t>Крышка SPB CO-CT-400-3000 HDG C4</t>
  </si>
  <si>
    <t>03032026
16062026
21042026</t>
  </si>
  <si>
    <t>Соединитель стыковой SPB-RF100 SC HDG C4 / Splice connector SPB-RF100 SC HDG C4</t>
  </si>
  <si>
    <t>121617</t>
  </si>
  <si>
    <t>Соединитель стыковой SPB-RF100 SC HDG C4 / 
Splice connector SPB-RF100 SC HDG C4</t>
  </si>
  <si>
    <t>10</t>
  </si>
  <si>
    <t>Шарнир вертикальный SPB-RF100 HI-VE HDG C2 / Vertical hinge SPB-RF100 HI-VE HDG C2</t>
  </si>
  <si>
    <t>122402</t>
  </si>
  <si>
    <t>02072026</t>
  </si>
  <si>
    <t>Крышка SPB CO-EF-200 R75 HDG C4 / Cover SPB CO-EF-200 R75 HDG C4</t>
  </si>
  <si>
    <t>122504</t>
  </si>
  <si>
    <t>Крышка SPB CO-EF-400 R75 HDG C4 / Cover SPB CO-EF-400 R75 HDG C4</t>
  </si>
  <si>
    <t>122506</t>
  </si>
  <si>
    <t>Крышка SPB CO-EF-400 R75 HDG C4  / Cover SPB CO-EF-400 R75 HDG C4</t>
  </si>
  <si>
    <t>3, 8</t>
  </si>
  <si>
    <t>Крышка SPB-RF CO-TE200/200 R75 HDG C4 / Cover SPB-RF CO-TE200/200 R75 HDG C4</t>
  </si>
  <si>
    <t>122518</t>
  </si>
  <si>
    <t>16062026</t>
  </si>
  <si>
    <t>Крышка SPB-RF CO-TE400/400 R75 HDG C4 / Cover SPB-RF CO-TE400/400 R75 HDG C4</t>
  </si>
  <si>
    <t>122520</t>
  </si>
  <si>
    <t>Крышка SPB-RF CO-FR-200 HDG C4 / Cover SPB-RF CO-FR-200 HDG C4</t>
  </si>
  <si>
    <t>122532</t>
  </si>
  <si>
    <t>Крышка SPB-RF CO-FR-400 HDG C4 / Cover SPB-RF CO-FR-400 HDG C4</t>
  </si>
  <si>
    <t>122534</t>
  </si>
  <si>
    <t>Лестница кабельная LOE55 CL-M-CW-400-3000 HDG C4 / Cable Ladder LOE55 CL-M-CW-400-3000 HDG C4</t>
  </si>
  <si>
    <t>122538</t>
  </si>
  <si>
    <t>02032026
03032026
21042026/3
04052026
16062026
NO1</t>
  </si>
  <si>
    <t>02032026
03032026
21042026
04052026
16062026
№1 (ПКМ)</t>
  </si>
  <si>
    <t>NO1</t>
  </si>
  <si>
    <t>м/m</t>
  </si>
  <si>
    <t>№1 (ПКМ)</t>
  </si>
  <si>
    <t>Лестница кабельная LOE55 CL-M-CW-200-3000 HDG C2 / Cable Ladder LOE55 CL-M-CW-200-3000 HDG C2</t>
  </si>
  <si>
    <t>122893</t>
  </si>
  <si>
    <t>4</t>
  </si>
  <si>
    <t>Лестница кабельная LOE55 CL-M-CW-400-3000 HDG C2 / Cable Ladder LOE55 CL-M-CW-400-3000 HDG C2</t>
  </si>
  <si>
    <t>122895</t>
  </si>
  <si>
    <t>Лоток кабельный SPB-RF50 CT-U-200-3000 HDG C4 / Cable Tray SPB-RF50 CT-U-200-3000 HDG C4</t>
  </si>
  <si>
    <t>124674</t>
  </si>
  <si>
    <t>27022026
02032026
21042026/3
16062026</t>
  </si>
  <si>
    <t>Лоток кабельный SPB-RF50 CT-U-200-3000 HDG C4</t>
  </si>
  <si>
    <t>27022026
02032026
21042026
16062026</t>
  </si>
  <si>
    <t>Лоток кабельный SPB-RF50 CT-U-400-3000 HDG C4 / Cable Tray SPB-RF50 CT-U-400-3000 HDG C4</t>
  </si>
  <si>
    <t>124676</t>
  </si>
  <si>
    <t>20042026
21042026/3
16062026
27072026-1</t>
  </si>
  <si>
    <t>Лоток кабельный SPB-RF50 CT-U-50-3000 HDG C2 / Cable Tray SPB-RF50 CT-U-50-3000 HDG C2</t>
  </si>
  <si>
    <t>124679</t>
  </si>
  <si>
    <t>Поворот вертикальный гибкий SPB-RF50 RI-FX-200 HDG C4 / Flexi Riser SPB-RF50 RI-FX-200 HDG C4</t>
  </si>
  <si>
    <t>124705</t>
  </si>
  <si>
    <t>03032026</t>
  </si>
  <si>
    <t>Поворот горизонтальный SPB-RF50 FE-90-200 R75 HDG C4 / Flat Elbow SPB-RF50 FE-90-200 R75 HDG C4</t>
  </si>
  <si>
    <t>124711</t>
  </si>
  <si>
    <t>27022026</t>
  </si>
  <si>
    <t>Поворот горизонтальный SPB-RF50 FE-90-400 R75 HDG C4 / Flat Elbow SPB-RF50 FE-90-400 R75 HDG C4</t>
  </si>
  <si>
    <t>124713</t>
  </si>
  <si>
    <t>04032026
21042026/3</t>
  </si>
  <si>
    <t>Поворот Т-образный SPB-RF50 TE-200/200-R75 HDG C4 / T-piece SPB-RF50 TE-200/200-R75 HDG C4</t>
  </si>
  <si>
    <t>124719</t>
  </si>
  <si>
    <t>Поворот Т-образный SPB-RF50 TE-400/400-R75 HDG C4 / T-piece SPB-RF50 TE-400/400-R75 HDG C4</t>
  </si>
  <si>
    <t>124721</t>
  </si>
  <si>
    <t>21042026
04032026</t>
  </si>
  <si>
    <t>Соединитель стыковой SPB-RF50 SC HDG С4 / Splice connector SPB-RF50 SC HDG С4</t>
  </si>
  <si>
    <t>124734</t>
  </si>
  <si>
    <t>27022026
21042026/3
16062026</t>
  </si>
  <si>
    <t>Шарнир вертикальный SPB-RF50 HI-VE HDG C4 / Hinge Vertical SPB-RF50 HI-VE HDG</t>
  </si>
  <si>
    <t>124736</t>
  </si>
  <si>
    <t>NO5</t>
  </si>
  <si>
    <t>АПП ТМЦ №5 от 15.09.2026г.</t>
  </si>
  <si>
    <t>Шарнир вертикальный SPB-RF50 HI-VE HDG C2 / Vertical hinge SPB-RF50 HI-VE HDG C2</t>
  </si>
  <si>
    <t>124739</t>
  </si>
  <si>
    <t>Шарнир горизонтальный SPB-RF50 HI-HO HDG C4 / Hinge horizontal SPB-RF50 HI-HO HDG C4</t>
  </si>
  <si>
    <t>124742</t>
  </si>
  <si>
    <t>02032026
16062026</t>
  </si>
  <si>
    <t>Уменьшитель SPB-RF50 RE-Z-100 HDG C4 / Reducer SPB-RF50 RE-Z-100 HDG C4</t>
  </si>
  <si>
    <t>124758</t>
  </si>
  <si>
    <t>Поворот вертикальный гибкий SPB-RF50 RI-FX-400 HDG C4 / Flexi Riser SPB-RF50 RI-FX-400 HDG C4</t>
  </si>
  <si>
    <t>124768</t>
  </si>
  <si>
    <t>Поворот горизонтальный SPB-RF100 FE-90-U-100 R75 HDG C2 / Flat Elbow SPB-RF100 FE-90-U-100 R75 HDG C2</t>
  </si>
  <si>
    <t>125090</t>
  </si>
  <si>
    <t>12032026
13032026
29032026
01042026
07042026
13042026</t>
  </si>
  <si>
    <t>Поворот горизонтальный SPB-RF100 FE-90-U-200 R75 HDG C2 / Flat Elbow SPB-RF100 FE-90-U-200 R75 HDG C2</t>
  </si>
  <si>
    <t>125092</t>
  </si>
  <si>
    <t>12032026
01042026
07042026
13042026</t>
  </si>
  <si>
    <t>Поворот горизонтальный гибкий SPB-RF50 FE-FX-200 HDG C4 / Flat Elbow Flexi SPB-RF50 FE-FX-200 HDG C4</t>
  </si>
  <si>
    <t>126016</t>
  </si>
  <si>
    <t>Поворот горизонтальный гибкий SPB-RF50 FE-FX-400 HDG C4 / Flat Elbow Flexi SPB-RF50 FE-FX-400 HDG C4</t>
  </si>
  <si>
    <t>126018</t>
  </si>
  <si>
    <t>Анкер-шпилька HST Hilti М8х75/10 / Stud anchor HST Hilti М8х75/10</t>
  </si>
  <si>
    <t>371581</t>
  </si>
  <si>
    <t>AKU.0120.00UKS.0.ET.TB0003</t>
  </si>
  <si>
    <t>05032026/1</t>
  </si>
  <si>
    <t>28042026
01062026
11062026</t>
  </si>
  <si>
    <t>Анкер шпилька HSA M10x68 /-/5 / Wedge anchor HSA M10x68 /-/5</t>
  </si>
  <si>
    <t>2004127</t>
  </si>
  <si>
    <t>02032026/1
04062026</t>
  </si>
  <si>
    <t>Анкер шпилька HSA M6 / Wedge anchor HSA M6</t>
  </si>
  <si>
    <t>2036086</t>
  </si>
  <si>
    <t>Клеевой анкер HIT-HY 270 330/2/EE / Injectable mortar HIT-HY 270 330/2/EE</t>
  </si>
  <si>
    <t>2095982</t>
  </si>
  <si>
    <t>20042026
21042026/3
16062026</t>
  </si>
  <si>
    <t>Анкер-шпилька HST3 M10x90 30/10 / Anchor HST3 M10x90 30/10</t>
  </si>
  <si>
    <t>2105712</t>
  </si>
  <si>
    <t>20042026
21042026/3</t>
  </si>
  <si>
    <t>Анкерная шпилька HAS-U 5.8 M10x130 / Anchor rod HAS-U 5.8 M10x130</t>
  </si>
  <si>
    <t>2223707</t>
  </si>
  <si>
    <t>20042026
21042026/3
09062026/1</t>
  </si>
  <si>
    <t>1</t>
  </si>
  <si>
    <t>Анкер HSL4-G M10 d15x121 20/-/- / Anchor HSL4-G M10 d15x121 20/-/-</t>
  </si>
  <si>
    <t>2237435</t>
  </si>
  <si>
    <t>06032026
12032026
13032026
29032026
01042026
06042026
07042026
13042026</t>
  </si>
  <si>
    <t>21042026/1</t>
  </si>
  <si>
    <t>Анкер HSL4-G M10 d15x121 20/-/-  / Anchor HSL4-G M10 d15x121 20/-/-</t>
  </si>
  <si>
    <t>YUEM kağıdı 2580 adet ve TB0002 diyor; bu, BYKARA'daki TB0001 (2526) + TB0002 (54) toplamına eşit. TB0001 satırı için ayrı kağıt yok.</t>
  </si>
  <si>
    <t>Скоба S-M AB-HDG-4228 / Angle Bracket S-M AB-HDG-4228</t>
  </si>
  <si>
    <t>4002020</t>
  </si>
  <si>
    <t>03032026
21042026/1
16062026</t>
  </si>
  <si>
    <t>Скоба S-M AB-HDG-4129 / Angle Bracket S-M AB-HDG-4129</t>
  </si>
  <si>
    <t>4002021</t>
  </si>
  <si>
    <t>Консоль S-M CA-40-HDG-2122 / Cantilever arm S-M CA-40-HDG-2122</t>
  </si>
  <si>
    <t>4021015</t>
  </si>
  <si>
    <t>Консоль S-M CA-40-HDG-2123 / Cantilever S-M CA-40-HDG-2123</t>
  </si>
  <si>
    <t>4021016</t>
  </si>
  <si>
    <t>Консоль S-M CA-40-HDG-2125 / Cantilever arm S-M CA-40-HDG-2125</t>
  </si>
  <si>
    <t>4021018</t>
  </si>
  <si>
    <t>Консоль S-M CA-40-HDG-2135 / Cantilever arm S-M CA-40-HDG-2135</t>
  </si>
  <si>
    <t>4021024</t>
  </si>
  <si>
    <t>Консоль S-M CA-40-HDG-2224 / Cantilever arm S-M CA-40-HDG-2224</t>
  </si>
  <si>
    <t>4021039</t>
  </si>
  <si>
    <t>29032026
13042026</t>
  </si>
  <si>
    <t>Консоль S-M CA-40-HDG-2246 / Cantilever arm S-M CA-40-HDG-2246</t>
  </si>
  <si>
    <t>4021051</t>
  </si>
  <si>
    <t>Консоль S-M CA-40-HDG-4122 / Cantilever S-M CA-40-HDG-4122</t>
  </si>
  <si>
    <t>4021070</t>
  </si>
  <si>
    <t>Консоль S-M CA-40-HDG-4123 / Cantilever S-M CA-40-HDG-4123</t>
  </si>
  <si>
    <t>4021071</t>
  </si>
  <si>
    <t>Консоль S-M CA-40-HDG-4124 / Cantilever S-M CA-40-HDG-4124</t>
  </si>
  <si>
    <t>4021072</t>
  </si>
  <si>
    <t>03032026
20042026
21042026/1
16062026
27072026-1</t>
  </si>
  <si>
    <t>03032026
20042026
16062026
27072026-1</t>
  </si>
  <si>
    <t>Консоль S-M CA-40-HDG-4224 / Cantilever S-M CA-40-HDG-4224</t>
  </si>
  <si>
    <t>4021094</t>
  </si>
  <si>
    <t>03032026
04032026
21042026/1
04052026
NO4</t>
  </si>
  <si>
    <t>03032026
21042026
04052026
27072026-1
АПП ТМЦ №4</t>
  </si>
  <si>
    <t>Консоль S-M CA-40-HDG-4236 / Cantilever S-M CA-40-HDG-4236</t>
  </si>
  <si>
    <t>4021101</t>
  </si>
  <si>
    <t>Консоль S-M CA-40-HDG-4244 / Cantilever S-M CA-40-HDG-4244</t>
  </si>
  <si>
    <t>4021104</t>
  </si>
  <si>
    <t>Консоль S-M CA-40-HDG-4254 / Cantilever S-M CA-40-HDG-4254</t>
  </si>
  <si>
    <t>4021113</t>
  </si>
  <si>
    <t>Старт S-M BS-HDG-2114 / Starter S-M BS-HDG-2114</t>
  </si>
  <si>
    <t>4022028</t>
  </si>
  <si>
    <t>12032026
13032026
29032026
07042026</t>
  </si>
  <si>
    <t>19082026-3
YGE2026000000015</t>
  </si>
  <si>
    <t>Старт S-M BS-HDG-2121 / Starter S-M BS-HDG-2121</t>
  </si>
  <si>
    <t>4022029</t>
  </si>
  <si>
    <t>Старт S-M BS-HDG-4114 / Starter S-M BS-HDG-4114</t>
  </si>
  <si>
    <t>4022047</t>
  </si>
  <si>
    <t>21042026/1
19062026-1</t>
  </si>
  <si>
    <t>Старт S-M BS-HDG-4121 / Starter S-M BS-HDG-4121</t>
  </si>
  <si>
    <t>4022048</t>
  </si>
  <si>
    <t>27022026
21042026/1
04052026
16062026
27072026-1</t>
  </si>
  <si>
    <t>27022026
28042026
06052026
22072026
13082026</t>
  </si>
  <si>
    <t>Старт S-M WB-HDG-4221 / Starter S-M WB-HDG-4221</t>
  </si>
  <si>
    <t>4022056</t>
  </si>
  <si>
    <t>Старт S-M WB-HDG-4224 / Starter S-M WB-HDG-4224</t>
  </si>
  <si>
    <t>4022059</t>
  </si>
  <si>
    <t>21042026/1
16062026
27072026-1</t>
  </si>
  <si>
    <t>Старт S-M BS-HDG-4123 / Starter S-M BS-HDG-4123</t>
  </si>
  <si>
    <t>4022135</t>
  </si>
  <si>
    <t>09062026/1
27072026-1</t>
  </si>
  <si>
    <t>Старт S-M BS-HDG-4123 / Starter S-M BS-HDG-4123</t>
  </si>
  <si>
    <t>09062026-1
27072026-1</t>
  </si>
  <si>
    <t>Профиль S-M CH100-HDG-2010 / Channel S-M CH100-HDG-2010</t>
  </si>
  <si>
    <t>4033089</t>
  </si>
  <si>
    <t>29032026
07042026</t>
  </si>
  <si>
    <t>Профиль S-M CH100-HDG-2015 / Channel S-M CH100-HDG-2015</t>
  </si>
  <si>
    <t>4033090</t>
  </si>
  <si>
    <t>12032026
13032026
07042026</t>
  </si>
  <si>
    <t>Профиль S-M CH100-HDG-2030 / Channel S-M CH100-HDG-2030</t>
  </si>
  <si>
    <t>4033093</t>
  </si>
  <si>
    <t>Профиль S-M CH60-HDG-2010 / Channel S-M CH60-HDG-2010</t>
  </si>
  <si>
    <t>4033097</t>
  </si>
  <si>
    <t>Профиль S-M CH100-HDG-4010 / Channel S-M CH100-HDG-4010</t>
  </si>
  <si>
    <t>4033127</t>
  </si>
  <si>
    <t>19062026-1</t>
  </si>
  <si>
    <t>Профиль S-M CH100-HDG-4040 / Channel S-M CH100-HDG-4040</t>
  </si>
  <si>
    <t>4033133</t>
  </si>
  <si>
    <t>24042026</t>
  </si>
  <si>
    <t>24042026
20052026</t>
  </si>
  <si>
    <t>Профиль S-M CH60-HDG-4005 / Channel S-M CH60-HDG-4005</t>
  </si>
  <si>
    <t>4033134</t>
  </si>
  <si>
    <t>21042026/4</t>
  </si>
  <si>
    <t>Профиль S-M CH60-HDG-4010 / Channel S-M CH60-HDG-4010</t>
  </si>
  <si>
    <t>4033135</t>
  </si>
  <si>
    <t>03032026
16062026</t>
  </si>
  <si>
    <t>Профиль S-M CH60-HDG-4015 / Channel S-M CH60-HDG-4015</t>
  </si>
  <si>
    <t>4033136</t>
  </si>
  <si>
    <t>03032026
21042026/4
09062026/1
27072026-1</t>
  </si>
  <si>
    <t>03032026
21042026
09062026-1
27072026-1</t>
  </si>
  <si>
    <t>Профиль S-M CH60-HDG-4020 / Channel S-M CH60-HDG-4020</t>
  </si>
  <si>
    <t>4033137</t>
  </si>
  <si>
    <t>03032026
21042026/4
04052026
09062026/1
16062026</t>
  </si>
  <si>
    <t>03032026
21042026
04052026
09062026-1
16062026</t>
  </si>
  <si>
    <t>Профиль S-M CH60-HDG-4030 / Channel S-M CH60-HDG-4030</t>
  </si>
  <si>
    <t>4033139</t>
  </si>
  <si>
    <t>03032026
21042026/4
16062026</t>
  </si>
  <si>
    <t>Профиль S-M CH100-HDG-4055 / Channel S-M CH100-HDG-4055</t>
  </si>
  <si>
    <t>4033254</t>
  </si>
  <si>
    <t>20052026</t>
  </si>
  <si>
    <t>Проходка кабельная СРЭ-УО(1)АСВС-ЗСД-D25-С4 / Cable penetration SRE-UO(1)ASVS-ZSD-D25-C4</t>
  </si>
  <si>
    <t>9040001</t>
  </si>
  <si>
    <t>шт./ pcs</t>
  </si>
  <si>
    <t>10042026
07072026
27072026-2
NO2</t>
  </si>
  <si>
    <t>10042026
07072026
27072026-2
АПП ТМЦ № 2</t>
  </si>
  <si>
    <t>Проходка кабельная СРЭ-УО(1)АСВС-ЗСД-D50-С4 / Cable penetration SRE-UO(1)ASVS-ZSD-D50-C4</t>
  </si>
  <si>
    <t>9040002</t>
  </si>
  <si>
    <t>Проходка кабельная СРЭ-УО(1)АСВС-ЗСД-D80-С4 / Cable penetration SRE-UO(1)ASVS-ZSD-D80-C4</t>
  </si>
  <si>
    <t>9040003</t>
  </si>
  <si>
    <t>NO2</t>
  </si>
  <si>
    <t xml:space="preserve">Проходка кабельная СРЭ-УО(1)АСВС-ЗСД-D80-С4
</t>
  </si>
  <si>
    <t>АПП ТМЦ № 2</t>
  </si>
  <si>
    <t>Проходка кабельная СРЭ-УО(1)АСВС-ЗСД-D100-С4 / Cable penetration SRE-UO(1)ASVS-ZSD-D100-C4</t>
  </si>
  <si>
    <t>9040004</t>
  </si>
  <si>
    <t>27072026-2</t>
  </si>
  <si>
    <t>Проходка кабельная СРЭ-УО(1)АСВС-ЗСД-D100-С4</t>
  </si>
  <si>
    <t>Проходка кабельная СРЭ-УО(1)АСВС-ЗСД-D125-С4 / Cable penetration SRE-UO(1)ASVS-ZSD-D125-C4</t>
  </si>
  <si>
    <t>9040005</t>
  </si>
  <si>
    <t>Проходка кабельная СРЭ-УО(1)АСВС-ЗСД-D150-С4 / Cable penetration SRE-UO(1)ASVS-ZSD-D150-C4</t>
  </si>
  <si>
    <t>9040006</t>
  </si>
  <si>
    <t>10042026
14072026</t>
  </si>
  <si>
    <t>10042026
14072080</t>
  </si>
  <si>
    <t>Проходка кабельная СРЭ-УО(1)АСВС-ЗКД-D25-С4 / Cable penetration SRE-UO(1)ASVS-ZKD-D25-C4</t>
  </si>
  <si>
    <t>9040017</t>
  </si>
  <si>
    <t>10042026
27072026-2
NO2</t>
  </si>
  <si>
    <t>27072026-2
АПП ТМЦ № 2</t>
  </si>
  <si>
    <t>Проходка кабельная СРЭ-УО(1)АСВС-ЗКД-D50-С4 / Cable penetration SRE-UO(1)ASVS-ZKD-D50-C4</t>
  </si>
  <si>
    <t>9040018</t>
  </si>
  <si>
    <t>07072026
27072026-2
NO2</t>
  </si>
  <si>
    <t>07072026
27072026-2
АПП ТМЦ № 2</t>
  </si>
  <si>
    <t>Проходка кабельная СРЭ-УО(1)АСВС-ЗКД-D80-С4 / Cable penetration SRE-UO(1)ASVS-ZKD-D80-C4</t>
  </si>
  <si>
    <t>9040019</t>
  </si>
  <si>
    <t xml:space="preserve">Проходка кабельная СРЭ-УО(1)АСВС-ЗКД-D80-С4
</t>
  </si>
  <si>
    <t>Проходка кабельная СРЭ-УО(1)АСВС-ЗКД-D100-С4 / Cable penetration SRE-UO(1)ASVS-ZKD-D100-C4</t>
  </si>
  <si>
    <t>9040020</t>
  </si>
  <si>
    <t>27072026-2
NO2</t>
  </si>
  <si>
    <t>Проходка кабельная СРЭ-УО(1)АСВС-ЗКД-D125-С4 / Cable penetration SRE-UO(1)ASVS-ZKD-D125-C4</t>
  </si>
  <si>
    <t>9040021</t>
  </si>
  <si>
    <t>Проходка кабельная СРЭ-УО(1)АСВС-ЗСД-D65-С4 / Cable penetration SRE-UO(1)ASVS-ZSD-D65-C4</t>
  </si>
  <si>
    <t>9040041</t>
  </si>
  <si>
    <t>Проходка кабельная СРЭ-УО(1)АСВС-ЗСД-D65-С4</t>
  </si>
  <si>
    <t>10042026
27072026-2
АПП ТМЦ № 2</t>
  </si>
  <si>
    <t>Проходка кабельная СРЭ-УО(1)АСВС-ЗКД-D65-С4 / Cable penetration SRE-UO(1)ASVS-ZKD-D65-C4</t>
  </si>
  <si>
    <t>9040043</t>
  </si>
  <si>
    <t>10042026
22052026/1
07072026
27072026-2
NO2</t>
  </si>
  <si>
    <t xml:space="preserve">Проходка кабельная СРЭ-УО(1)АСВС-ЗКД-D65-С4
</t>
  </si>
  <si>
    <t>22052026
07072026
27072026-2
АПП ТМЦ № 2</t>
  </si>
  <si>
    <t>Проходка кабельная СРЭ-УК(1)АСВС-ЗСД-100x300-С4 / Cable penetration SRE-UK(1)ASVS-ZSD-100x300-C4</t>
  </si>
  <si>
    <t>9140003</t>
  </si>
  <si>
    <t>Проходка кабельная СРЭ-УК(1)АСВС-ЗСД-200x100-С4 / Cable penetration SRE-UK(1)ASVS-ZSD-200x100-C4</t>
  </si>
  <si>
    <t>9140037</t>
  </si>
  <si>
    <t>Проходка кабельная СРЭ-УК(1)АСВС-ЗСД-200x200-С4 / Cable penetration SRE-UK(1)ASVS-ZSD-200x200-C4</t>
  </si>
  <si>
    <t>9140038</t>
  </si>
  <si>
    <t>10042026
АПП ТМЦ № 2
07072026
22052026</t>
  </si>
  <si>
    <t>Проходка кабельная СРЭ-УК(1)АСВС-ЗСД-200x300-С4 / Cable penetration SRE-UK(1)ASVS-ZSD-200x300-C4</t>
  </si>
  <si>
    <t>9140039</t>
  </si>
  <si>
    <t>Проходка кабельная СРЭ-УК(1)АСВС-ЗСД-200x400-С4 / Cable penetration SRE-UK(1)ASVS-ZSD-200x400-C4</t>
  </si>
  <si>
    <t>9140040</t>
  </si>
  <si>
    <t>10042026
22052026/1
14072026
27072026-2</t>
  </si>
  <si>
    <t>00UYB14EM0005 (1) · 00UYB14EM0006 (1) · 00UYB14EM0007 (1)</t>
  </si>
  <si>
    <t>10042026
22052026
27072026-2</t>
  </si>
  <si>
    <t>Проходка кабельная СРЭ-УК(1)АСВС-ЗСД-200x500-С4 / Cable penetration SRE-UK(1)ASVS-ZSD-200x500-C4</t>
  </si>
  <si>
    <t>9140041</t>
  </si>
  <si>
    <t>14072026</t>
  </si>
  <si>
    <t>5</t>
  </si>
  <si>
    <t>Проходка кабельная СРЭ-УК(1)АСВС-ЗСД-300x200-С4 / Cable penetration SRE-UK(1)ASVS-ZSD-300x200-C4</t>
  </si>
  <si>
    <t>9140074</t>
  </si>
  <si>
    <t>14072026
NO2</t>
  </si>
  <si>
    <t>Проходка кабельная СРЭ-УК(1)АСВС-ЗСД-300x300-С4 / Cable penetration SRE-UK(1)ASVS-ZSD-300x300-C4</t>
  </si>
  <si>
    <t>9140075</t>
  </si>
  <si>
    <t>10042026
14072026
NO2</t>
  </si>
  <si>
    <t>10042026
АПП ТМЦ № 2</t>
  </si>
  <si>
    <t>Проходка кабельная СРЭ-УК(1)АСВС-ЗСД-300x400-С4 / Cable penetration SRE-UK(1)ASVS-ZSD-300x400-C4</t>
  </si>
  <si>
    <t>9140076</t>
  </si>
  <si>
    <t>Проходка кабельная СРЭ-УК(1)АСВС-ЗСД-300x500-С4 / Cable penetration SRE-UK(1)ASVS-ZSD-300x500-C4</t>
  </si>
  <si>
    <t>9140077</t>
  </si>
  <si>
    <t>Проходка кабельная СРЭ-УК(1)АСВС-ЗСД-300x600-С4 / Cable penetration SRE-UK(1)ASVS-ZSD-300x600-C4</t>
  </si>
  <si>
    <t>9140078</t>
  </si>
  <si>
    <t>Проходка кабельная СРЭ-УК(1)АСВС-ЗСД-300x800-С4 / Cable penetration SRE-UK(1)ASVS-ZSD-300x800-C4</t>
  </si>
  <si>
    <t>9140080</t>
  </si>
  <si>
    <t>Проходка кабельная СРЭ-УК(1)АСВС-ЗСД-400x200-С4 / Cable penetration SRE-UK(1)ASVS-ZSD-400x200-C4</t>
  </si>
  <si>
    <t>9140110</t>
  </si>
  <si>
    <t>Проходка кабельная СРЭ-УК(1)АСВС-ЗСД-400x300-С4 / Cable penetration SRE-UK(1)ASVS-ZSD-400x300-C4</t>
  </si>
  <si>
    <t>9140111</t>
  </si>
  <si>
    <t>Проходка кабельная СРЭ-УК(1)АСВС-ЗСД-400x400-С4 / Cable penetration SRE-UK(1)ASVS-ZSD-400x400-C4</t>
  </si>
  <si>
    <t>9140112</t>
  </si>
  <si>
    <t>Проходка кабельная СРЭ-УК(1)АСВС-ЗСД-400x1500-С4 / Cable penetration SRE-UK(1)ASVS-ZSD-400x1500-C4</t>
  </si>
  <si>
    <t>9140123</t>
  </si>
  <si>
    <t>10042026
22052026/1
27072026-2
NO2</t>
  </si>
  <si>
    <t>10042026
22052026
27072026-2
АПП ТМЦ № 2</t>
  </si>
  <si>
    <t>Проходка кабельная СРЭ-УК(1)АСВС-ЗСД-500x200-С4 / Cable penetration SRE-UK(1)ASVS-ZSD-500x200-C4</t>
  </si>
  <si>
    <t>9140146</t>
  </si>
  <si>
    <t>Проходка кабельная СРЭ-УК(1)АСВС-ЗСД-700x700-С4 / Cable penetration SRE-UK(1)ASVS-ZSD-700x700-C4</t>
  </si>
  <si>
    <t>9140223</t>
  </si>
  <si>
    <t>NO2
22092026</t>
  </si>
  <si>
    <t>Проходка кабельная СРЭ-УК(1)АСВС-ЗСД-800x1800-С4 / Cable penetration SRE-UK(1)ASVS-ZSD-800x1800-C4</t>
  </si>
  <si>
    <t>9140270</t>
  </si>
  <si>
    <t>Проходка кабельная СРЭ-УК(1)АСВС-ЗКД-200x200-С4 / Cable penetration SRE-UK(1)ASVS-ZKD-200x200-C4</t>
  </si>
  <si>
    <t>9140902</t>
  </si>
  <si>
    <t>10042026
27072026-2</t>
  </si>
  <si>
    <t>00UYB14EM0232 (1) · 00UYB16EM0296 (1) · 00UYB16EM0302 (1) · 00UYB17EM0240 (1) · 00UYB17EM0248 (1)</t>
  </si>
  <si>
    <t>10042026
07072026
27072026-2</t>
  </si>
  <si>
    <t>Проходка кабельная СРЭ-УК(1)АСВС-ЗКД-200x300-С4 / Cable penetration SRE-UK(1)ASVS-ZKD-200x300-C4</t>
  </si>
  <si>
    <t>9140903</t>
  </si>
  <si>
    <t>Проходка кабельная СРЭ-УК(1)АСВС-ЗКД-300x200-С4 / Cable penetration SRE-UK(1)ASVS-ZKD-300x200-C4</t>
  </si>
  <si>
    <t>9140938</t>
  </si>
  <si>
    <t>Проходка кабельная СРЭ-УК(1)АСВС-ЗКД-300x300-С4 / Cable penetration SRE-UK(1)ASVS-ZKD-300x300-C4</t>
  </si>
  <si>
    <t>9140939</t>
  </si>
  <si>
    <t>Проходка кабельная СРЭ-УК(1)АСВС-ЗКД-400x200-С4 / Cable penetration SRE-UK(1)ASVS-ZKD-400x200-C4</t>
  </si>
  <si>
    <t>9140974</t>
  </si>
  <si>
    <t>Проходка кабельная СРЭ-УК(1)АСВС-ЗКД-400x300-С4 / Cable penetration SRE-UK(1)ASVS-ZKD-400x300-C4</t>
  </si>
  <si>
    <t>9140975</t>
  </si>
  <si>
    <t>Проходка кабельная СРЭ-УК(1)АСВС-ЗКД-400x500-С4 / Cable penetration SRE-UK(1)ASVS-ZKD-400x500-C4</t>
  </si>
  <si>
    <t>9140977</t>
  </si>
  <si>
    <t>10042026</t>
  </si>
  <si>
    <t>Проходка кабельная СРЭ-УК(1)АСВС-ЗКД-400x1500-С4 / Cable penetration SRE-UK(1)ASVS-ZKD-400x1500-C4</t>
  </si>
  <si>
    <t>9140987</t>
  </si>
  <si>
    <t>Проходка кабельная СРЭ-УК(1)АСВС-ЗКД-500x300-С4 / Cable penetration SRE-UK(1)ASVS-ZKD-500x300-C4</t>
  </si>
  <si>
    <t>9141011</t>
  </si>
  <si>
    <t>Проходка кабельная СРЭ-УК(1)АСВС-ЗКД-500x500-С4 / Cable penetration SRE-UK(1)ASVS-ZKD-500x500-C4</t>
  </si>
  <si>
    <t>9141013</t>
  </si>
  <si>
    <t>Проходка кабельная СРЭ-УК(1)АСВС-ЗКД-500x600-С4 / Cable penetration SRE-UK(1)ASVS-ZKD-500x600-C4</t>
  </si>
  <si>
    <t>9141014</t>
  </si>
  <si>
    <t>Проходка кабельная СРЭ-УК(1)АСВС-ЗКД-500x700-С4 / Cable penetration SRE-UK(1)ASVS-ZKD-500x700-C4</t>
  </si>
  <si>
    <t>9141015</t>
  </si>
  <si>
    <t>Проходка кабельная СРЭ-УК(1)АСВС-ЗКД-600x500-С4 / Cable penetration SRE-UK(1)ASVS-ZKD-600x500-C4</t>
  </si>
  <si>
    <t>9141049</t>
  </si>
  <si>
    <t>Проходка кабельная СРЭ-УК(1)АСВС-ЗКД-1000x500-С4 / Cable penetration SRE-UK(1)ASVS-ZKD-1000x500-C4</t>
  </si>
  <si>
    <t>9141193</t>
  </si>
  <si>
    <t>Проходка кабельная СРЭ-УЛ(1)АСВС-ЗСД-100x100-С4 / Cable penetration SRE-UL(1)ASVS-ZSD-100x100-C4</t>
  </si>
  <si>
    <t>9240014</t>
  </si>
  <si>
    <t>Проходка кабельная СРЭ-УЛ(1)АСВС-ЗСД-100x200-С4 / Cable penetration SRE-UL(1)ASVS-ZSD-100x200-C4</t>
  </si>
  <si>
    <t>9240016</t>
  </si>
  <si>
    <t>Проходка кабельная СРЭ-УЛ(1)АСВС-ЗСД-200x100-С4 / Cable penetration SRE-UL(1)ASVS-ZSD-200x100-C4</t>
  </si>
  <si>
    <t>9240038</t>
  </si>
  <si>
    <t>10042026
22052026/1</t>
  </si>
  <si>
    <t>10042026
22052026</t>
  </si>
  <si>
    <t>YUEM 5,1 adet + ambar 0,9 adet: küsuratlı adet girilmiş.</t>
  </si>
  <si>
    <t>Проходка кабельная СРЭ-УЛ(1)АСВС-ЗСД-250x200-С4 / Cable penetration SRE-UL(1)ASVS-ZSD-250x200-C4</t>
  </si>
  <si>
    <t>9240052</t>
  </si>
  <si>
    <t>Проходка кабельная СРЭ-УЛ(1)АСВС-ЗСД-300x100-С4 / Cable penetration SRE-UL(1)ASVS-ZSD-300x100-C4</t>
  </si>
  <si>
    <t>9240062</t>
  </si>
  <si>
    <t>Проходка кабельная СРЭ-УЛ(1)АСВС-ЗКД-100x100-С4 / Cable penetration SRE-UL(1)ASVS-ZKD-100x100-C4</t>
  </si>
  <si>
    <t>9240494</t>
  </si>
  <si>
    <t>Проходка кабельная СРЭ-УЛ(1)АСВС-ЗКД-100x150-С4 / Cable penetration SRE-UL(1)ASVS-ZKD-100x150-C4</t>
  </si>
  <si>
    <t>9240495</t>
  </si>
  <si>
    <t>Проходка кабельная СРЭ-УЛ(1)АСВС-ЗКД-100x200-С4 / Cable penetration SRE-UL(1)ASVS-ZKD-100x200-C4</t>
  </si>
  <si>
    <t>9240496</t>
  </si>
  <si>
    <t>Проходка кабельная СРЭ-УЛ(1)АСВС-ЗКД-200x100-С4 / Cable penetration SRE-UL(1)ASVS-ZKD-200x100-C4</t>
  </si>
  <si>
    <t>9240518</t>
  </si>
  <si>
    <t>Проходка кабельная СРЭ-УЛ(1)АСВС-ЗКД-250x200-С4 / Cable penetration SRE-UL(1)ASVS-ZKD-250x200-C4</t>
  </si>
  <si>
    <t>9240532</t>
  </si>
  <si>
    <t>Полоса стальная оцинкованная 4x25 мм / Zinc-coated steel 4x25 mm strip bar</t>
  </si>
  <si>
    <t>B4x25 мм/mm</t>
  </si>
  <si>
    <t>Полоса стальная оцинкованная 4x25 мм /
Zinc-coated steel 4x25 mm strip bar</t>
  </si>
  <si>
    <t>Полоса стальная оцинкованная 4x40 мм / Zinc-coated steel 4x40 mm strip bar</t>
  </si>
  <si>
    <t>B4x40 мм/mm</t>
  </si>
  <si>
    <t>05032026</t>
  </si>
  <si>
    <t>Полоса стальная оцинкованная 4x40 мм /
Zinc-coated steel 4x40 mm strip bar</t>
  </si>
  <si>
    <t>YUEM kağıdı 3280 m ve TB0002 diyor; bu, BYKARA'daki TB0002 (3100) + TB0003 (180) toplamına eşit.</t>
  </si>
  <si>
    <t>Профиль Z-образный монтажный CN-4A-30-2000-S1</t>
  </si>
  <si>
    <t>CN-4A-30-2000-S1</t>
  </si>
  <si>
    <t>29042026
11052026</t>
  </si>
  <si>
    <t>Профиль Z-образный монтажный CN-4B-40-2000-S1</t>
  </si>
  <si>
    <t>CN-4B-40-2000-S1</t>
  </si>
  <si>
    <t>03072026
YGE2026000000013</t>
  </si>
  <si>
    <t>2, 6</t>
  </si>
  <si>
    <t>YUEM toplamı (900+2320) BYKARA miktarının çok üzerinde; kağıtların kontrolü gerekli.</t>
  </si>
  <si>
    <t>СПЕЦКАБЛАЙН-КиТ-МРП20(КПСЭнг(А)-FRHF 1х2х2.5) SPETSCABLELIN E-KiT-MRP20 (KPSEng(A)-FRHF 1х2х2.5)</t>
  </si>
  <si>
    <t>E-KiT-MRP20</t>
  </si>
  <si>
    <t>AKU.0179.00UYB.CYE.PS.MB0002</t>
  </si>
  <si>
    <t>K-4</t>
  </si>
  <si>
    <t>Коробка контрольного зажима по типу КСЗ-1 / Test terminal box by type KSZ-1</t>
  </si>
  <si>
    <t>KSZ-1</t>
  </si>
  <si>
    <t>04062026</t>
  </si>
  <si>
    <t>Рукав металлический гибкий в ПВХ оболочке типа Р3 диаметром 20 мм/ Flexible metal hose, PVC sheath, type R3, diameter 20 mm МРП20/ MRP20</t>
  </si>
  <si>
    <t>MRP20</t>
  </si>
  <si>
    <t>22062026</t>
  </si>
  <si>
    <t>Бирка маркировочная для кабеля / Label for cable SFX 11/60 MC Neutral WT</t>
  </si>
  <si>
    <t>SFX 11/60 MC Neutral WT</t>
  </si>
  <si>
    <t>Заглушка S-M CA-40-B EC TPV / End cap S-M CA-40-B EC TPV</t>
  </si>
  <si>
    <t>SP21449</t>
  </si>
  <si>
    <t>Заглушка торцевая CH60-2T EP / End cap CH60-2T EP</t>
  </si>
  <si>
    <t>SP21450</t>
  </si>
  <si>
    <t>Светильник Бонус-8М / Luminaire Bonus-8M</t>
  </si>
  <si>
    <t>Бонус-8М /Bonus-8M</t>
  </si>
  <si>
    <t>14042026
01062026
16062026-1</t>
  </si>
  <si>
    <t>Медный провод/Copper wire</t>
  </si>
  <si>
    <t>ПГЛ-M16/PGL-M16</t>
  </si>
  <si>
    <t>Светильник Трасса-1А / Luminaire Trassa-1A</t>
  </si>
  <si>
    <t>Трасса-1А /Trassa-1A</t>
  </si>
  <si>
    <t>14042026
28042026
01062026
16062026-1</t>
  </si>
  <si>
    <t>Светильник Трасса-2А / Luminaire Trassa-2A</t>
  </si>
  <si>
    <t>Трасса-2А /Trassa-2A</t>
  </si>
  <si>
    <t>Светильник Трасса-3А / Luminaire Trassa-3A</t>
  </si>
  <si>
    <t>Трасса-3А /Trassa-3A</t>
  </si>
  <si>
    <t>Ящик-выключатель / NH sigortalı şalter kutusu</t>
  </si>
  <si>
    <t>ЯВЗ-31 O4 / YaVZ-31 T3</t>
  </si>
  <si>
    <t>00SMD24GX001 (1) · 00SMD24GX002 (1) · 00SMD24GX003 (1)</t>
  </si>
  <si>
    <t>Ящик клеммный / Klemens kutusu</t>
  </si>
  <si>
    <t>ЯК2-2-04-41 / YaK2-2-04-41</t>
  </si>
  <si>
    <t>00FKJ14GE001 (1) · 00FKJ15GE001 (1) · 00FKJ16GE001 (1) · 00FKJ17GE001 (1) · 00FKJ18GE001 (1) · 00FKJ19GE001 (1)</t>
  </si>
  <si>
    <t>ВВГнг(A)-FRLS 3x1,5ок(N,PE)-1 / VVGng(A)-FRLS 3x1.5ok(N,PE)-1</t>
  </si>
  <si>
    <t>K-1
K-2
K-3</t>
  </si>
  <si>
    <t>AKU.0130.00UYB.0.EW.LH0002</t>
  </si>
  <si>
    <t>K-5</t>
  </si>
  <si>
    <t>8</t>
  </si>
  <si>
    <t>ВВГнг(A)-FRLS 3x2,5ок(N,PE)-1 / VVGng(A)-FRLS 3x2.5ok(N,PE)-1</t>
  </si>
  <si>
    <t>ВВГнг(A)-LS 3x2,5ок(N)-1 / VVGng(A)-LS 3x2.5ok(N)-1</t>
  </si>
  <si>
    <t>Kağıtta 'ВВГнг(A)-LS 3x2,5ок(N)-1' yazıyor; 1615 m miktarı ve LH0001 şartnamesi FRLS 3x2,5ок(N,PE) satırıyla birebir. LS 3x2,5 için ayrı 6171 m kağıdı mevcut → FRLS satırına alındı.</t>
  </si>
  <si>
    <t>ВВГнг(A)-LS 2x1,5ок(N)-1 / VVGng(A)-LS 2x1.5ok(N)-1</t>
  </si>
  <si>
    <t>ВВГнг(A)-LS 2x4ок(N)-1 / VVGng(A)-LS 2x4ok(N)-1</t>
  </si>
  <si>
    <t>ВВГнг(A)-LS 3x1,5ок(N)-1 / VVGng(A)-LS 3x1.5ok(N)-1</t>
  </si>
  <si>
    <t>K-1
K-2</t>
  </si>
  <si>
    <t>ВВГнг(A)-LS 3x4ок(N)-1 / VVGng(A)-LS 3x4ok(N)-1T</t>
  </si>
  <si>
    <t>ВВГнг(A)-LS 3x6ок(N)-1 / VVGng(A)-LS 3x6ok(N)-1</t>
  </si>
  <si>
    <t>ВВГнг(A)-LS 5x2,5ок(N)-1 / VVGng(A)-LS 5x2.5ok(N)-1</t>
  </si>
  <si>
    <t>ВВГнг(A)-LS 5x4ок(N)-1 / VVGng(A)-LS 5x4ok(N)-1</t>
  </si>
  <si>
    <t>K-3</t>
  </si>
  <si>
    <t>ВВГнг(А)-LS-T 1x185 / VVGng(A)-LS-T 1х185</t>
  </si>
  <si>
    <t>AKU.0179.00UYB.0.EK.MB0001</t>
  </si>
  <si>
    <t>YGE2026000000015</t>
  </si>
  <si>
    <t>Консоль S-M CA-40-HDG-2153 / Cantilever S-M CA-40-HDG-2153</t>
  </si>
  <si>
    <t>Круглый токовод Ø 12 мм, оцинкованная сталь / Galvanized steel rod Ø 12 mm</t>
  </si>
  <si>
    <t>AKU.0130.00UYB.0.KM.TB0003</t>
  </si>
  <si>
    <t>17062026-1</t>
  </si>
  <si>
    <t>Круглый токовод Ø 12 мм, оцинкованная сталь /  Galvanized steel rod Ø 12 mm</t>
  </si>
  <si>
    <t>Профиль зетовый ПZ-У-66x32x40x8 / Z-section PZ-U-66x32x40x8</t>
  </si>
  <si>
    <t>22052026
01062026</t>
  </si>
  <si>
    <t>Проходка кабельная СРЭ-УК(1)АСВС-ЗСД-400x700-С4 / Cable penetration SRE-UK(1)ASVS-ZSD-400x700-C4</t>
  </si>
  <si>
    <t>Труба Ц-32x2.8/ Pipe Ts-32x2.8</t>
  </si>
  <si>
    <t>Цинконаполненная краска Зинга / Çinko Dolgulu Kaplama ZİNGA</t>
  </si>
  <si>
    <t>кг / kg</t>
  </si>
  <si>
    <t>Ящик для сварки/Welding box</t>
  </si>
  <si>
    <t>шт./pcs</t>
  </si>
  <si>
    <t>AKU.0130.00UYB.0.EM.TB0001</t>
  </si>
  <si>
    <t>09062026/3</t>
  </si>
  <si>
    <t>00UYB10GH101 (1) · 00UYB10GH102 (1) · 00UYB14GH101 (1) · 00UYB14GH102 (1) · 00UYB14GH103 (1) · 00UYB22GH101 (1) · 00UYB32GH101 (1) · 00UYB32GH102 (1) · 00UYB32GH103 (1) · 00UYB32GH104 (1) · 00UYB32GH105 (1) · 00UYB32GH106 (1) · 00UYB37GH101 (1) · 00UYB37GH102 (1) · 00UYB37GH103 (1) · 00UYB37GH104 (1) · 00UYB37GH105 (1) · 00UYB37GH106 (1) · 00UYB37GH107 (1)</t>
  </si>
  <si>
    <t>1, 2</t>
  </si>
  <si>
    <t>Ящик-выключатель / Switch box</t>
  </si>
  <si>
    <t>00UYB10GH001 (1) · 00UYB10GH002 (1) · 00UYB25GH001 (1) · 00UYB29GH001 (1) · 00UYB29GH002 (1)</t>
  </si>
  <si>
    <t>BYKARA TESLİM ALINAN TABLOSUNDA KARŞILIĞI BULUNAMAYAN KAYITLAR / ЗАПИСИ, ОТСУТСТВУЮЩИЕ В ТАБЛИЦЕ «ПРИНЯТО BYKARA»</t>
  </si>
  <si>
    <t>Проходка кабельная СРЭ-УК(1)АСВС-ЗСД-400x500-С4 / Cable penetration SRE-UK(1)ASVS-ZSD-400x500-C4</t>
  </si>
  <si>
    <t>BYKARA'da ЗСД-400x500 (9140113) yok. BYKARA'daki en yakın kalem ЗКД-400x500 (9140977).</t>
  </si>
  <si>
    <t>Miktar 0; BYKARA tablosunda karşılığı yok.</t>
  </si>
  <si>
    <t>BYKARA'da CH100-HDG-4015 (4033128) yok.</t>
  </si>
  <si>
    <t>BYKARA'da ЗСД-500x700 (9140151) yok. BYKARA'da ЗКД-500x700 (9141015) var, o satıra ayrıca 3 adet ambar kaydı eşleşti.</t>
  </si>
  <si>
    <t>BYKARA'da ЗСД-100x100 (9140001) yok.</t>
  </si>
  <si>
    <t>BYKARA'da ЗКД-200x100 (9140901) yok.</t>
  </si>
  <si>
    <t>Кабель ВВГнг(А)-LS-T мк-1</t>
  </si>
  <si>
    <t>Кабель ВВГнг(А)-LS-T 3x16 ок-0.66</t>
  </si>
  <si>
    <t>Кабель ВВНнг(А)-LS-T 4x16 ок-0.66</t>
  </si>
  <si>
    <t xml:space="preserve">Кабель силовой с медными жилами, c изоляцией, внутренней оболочкой, внешней оболочкой из полимерной композиции, не содержащей галогенов на напряжение 0,66 кВ,сечением 5х4 мм2/ Power cable, copper cores , insulated,polymer inner outer sheaths, halogen-free, voltage 0,66 kV, section 5х4 mm2
</t>
  </si>
  <si>
    <t>Кабель ВВГнг(А)-LS-T 5x16 ок-0.66</t>
  </si>
  <si>
    <t>Кабель ВВГнг(А)-LS-T 5x25 мк-1</t>
  </si>
  <si>
    <t>Кабель ВВГнг(А)-LS-T 5x50 мк-1</t>
  </si>
  <si>
    <t>Кабель ВВГнг(А)-LS-T 5x95 мс-1</t>
  </si>
  <si>
    <t>Кабель ВВГнг(А)-LS-T 5x120 мс-1</t>
  </si>
  <si>
    <t>Кабель ВВГнг(А)-LS-T 5x150 мс-1</t>
  </si>
  <si>
    <t>Кабель ВВГнг(А)-LS-T 5x185 мс-1</t>
  </si>
  <si>
    <t>BYKARA'da yalnızca 1x185 kablo var (5x185 değil); miktar 0.</t>
  </si>
  <si>
    <t>Зажим для крышки SPB/LOE55 CC HDG C4 / Cover clamp SPB/LOE55 CC HDG C4
Hilti</t>
  </si>
  <si>
    <t>BYKARA'daki SPB-RF75 CC (121491) ile farklı ürün (SPB/LOE55 CC); miktar 0.</t>
  </si>
  <si>
    <t>ВВГнг(А)-LS-T 2x6</t>
  </si>
  <si>
    <t>ВВГнг(А)-LS-T 4x4</t>
  </si>
  <si>
    <t>ВВГнг(А)-LS-T 4x6</t>
  </si>
  <si>
    <t>ВВГнг(А)-LS-T 4x10</t>
  </si>
  <si>
    <t>ВВГнг(А)-LS-T 5x6</t>
  </si>
  <si>
    <t>21042026/1
13042026
07042026
06042026
01042026
29032026
13032026
12032026
06032026</t>
  </si>
  <si>
    <t>AKU.0130.00UYB.0.EM.TB0002
AKU.0120.00UKS.0.ET.TB0003</t>
  </si>
  <si>
    <t>02032026/1
04062026
05032026</t>
  </si>
  <si>
    <t>3, 14</t>
  </si>
  <si>
    <t>10, 14</t>
  </si>
  <si>
    <t>3, 8, 14</t>
  </si>
  <si>
    <t>5, 10, 14</t>
  </si>
  <si>
    <t>5, 14</t>
  </si>
  <si>
    <t>12, 14</t>
  </si>
  <si>
    <t>4, 8, 14</t>
  </si>
  <si>
    <t>2, 10, 14</t>
  </si>
  <si>
    <t/>
  </si>
  <si>
    <t>14</t>
  </si>
  <si>
    <t>Fark BYKARA − YUEM Kağıtları / Разница BYKARA − документы YUEM</t>
  </si>
  <si>
    <t xml:space="preserve">Ambar tablosunda miktar hücresi '24 4040 + 17 4055  olarak laım yapıldı sorun yoktur </t>
  </si>
  <si>
    <t>Зажим для крышки SPB-RF75 CC HDG C4</t>
  </si>
  <si>
    <t>Зажим крышки SPB-RF75CC HDG C4</t>
  </si>
  <si>
    <t>Соединитель стыковой SPB SC 85X200 HDG C4</t>
  </si>
  <si>
    <t>Крышка SPB CO-FE-90-200 R75 HDG C4</t>
  </si>
  <si>
    <t>Крышка SPB CO-FE-90-400 R75 HDG C4</t>
  </si>
  <si>
    <t>Соединитель стыковой LOE55 SC HDG C4</t>
  </si>
  <si>
    <t>Поворот горизонтальный LOE55 FE-90-400-R300 HDG C4</t>
  </si>
  <si>
    <t>Поворот Т-образный LOE55 ТЕ-400-R300 HDG C4</t>
  </si>
  <si>
    <t>Крышка SPB CO-EF-200 R75 HDG C4</t>
  </si>
  <si>
    <t>Крышка SPB-RF CO-TE400/400 R75 HDG C4</t>
  </si>
  <si>
    <t>Крышка SPB-RF CO-FR-200 HDG C4</t>
  </si>
  <si>
    <t>Крышка SPB-RF CO-FR-400 HDG C4</t>
  </si>
  <si>
    <t>Лестница кабельная LOE55 CL-M-CW-400-3000 HDG C4</t>
  </si>
  <si>
    <t>Кабельная лестница LOE55 CL- M-CW-400-3000 HDG C4</t>
  </si>
  <si>
    <t>Поворот вертикальный гибкий SPB-RF50 RI-FX-200 HDG C4</t>
  </si>
  <si>
    <t>Поворот горизонтальный SPB-RF50 FE-90-200 R75 HDG C4</t>
  </si>
  <si>
    <t>Поворот горизонтальный SPB-RF50 FE-90-400 R75 HDG C4</t>
  </si>
  <si>
    <t>Поворот Т-образный SPB-RF50 TE-200/200-R75 HDG C4</t>
  </si>
  <si>
    <t>Соединитель стыковой SPB-RF50 SC HDG С4</t>
  </si>
  <si>
    <t>Шарнир вертикальный SPB-RF50 HI-VE HDG C4</t>
  </si>
  <si>
    <t>Шарнир вертикальный SPB- RF50 HI-VE HDG</t>
  </si>
  <si>
    <t>Шарнир горизонтальный SPB-RF50 HI-HO HDG C4</t>
  </si>
  <si>
    <t>Уменьшитель SPB-RF50 RE-Z-100 HDG C4</t>
  </si>
  <si>
    <t>Поворот вертикальный гибкий SPB-RF50 RI-FX-400 HDG C4</t>
  </si>
  <si>
    <t>Поворот горизонтальный гибкий SPB-RF50 FE-FX-200 HDG C4</t>
  </si>
  <si>
    <t>Поворот горизонтальный гибкий SPB-RF50 FE-FX-400 HDG C4</t>
  </si>
  <si>
    <t>Скоба S-M AB-HDG-4228</t>
  </si>
  <si>
    <t>Скоба S-M AB-HDG-4129</t>
  </si>
  <si>
    <t>Консоль S-M CA-40-HDG-4122</t>
  </si>
  <si>
    <t>Консоль S-M CA-40- HDG-4122</t>
  </si>
  <si>
    <t>Консоль S-M CA-40- HDG-4123</t>
  </si>
  <si>
    <t>Консоль S-M CA-40-HDG-4124</t>
  </si>
  <si>
    <t>Консоль S-M CA-40-HDG-4224</t>
  </si>
  <si>
    <t>Консоль S-M CA-40-HDG-4236</t>
  </si>
  <si>
    <t>Консоль S-M CA-40-HDG-4244</t>
  </si>
  <si>
    <t>Консоль S-M CA-40-HDG-4254</t>
  </si>
  <si>
    <t>Старт S-M BS-HDG-4121</t>
  </si>
  <si>
    <t>Старт S-M WB-HDG-4224</t>
  </si>
  <si>
    <t>Профиль S-M CH100-HDG-4040</t>
  </si>
  <si>
    <t>Профиль S-M CH60-HDG-4005</t>
  </si>
  <si>
    <t>Профиль S-M CH60-HDG-4010</t>
  </si>
  <si>
    <t>Профиль S-M CH60-HDG-4015</t>
  </si>
  <si>
    <t>Профиль S-M CH60-HDG-4020</t>
  </si>
  <si>
    <t>Профиль S-M CH60-HDG-4030</t>
  </si>
  <si>
    <t>Проходка кабельная СРЭ-УО(1)АСВС-ЗСД-D25-С4</t>
  </si>
  <si>
    <t>Проходка кабельная СРЭ-УО(1)АСВС-ЗСД-D50-С4</t>
  </si>
  <si>
    <t>Проходка кабельная СРЭ-УО(1)АСВС-ЗСД-D125-С4</t>
  </si>
  <si>
    <t>Проходка кабельная СРЭ-УО(1)АСВС-ЗКД-D25-С4</t>
  </si>
  <si>
    <t>Проходка кабельная СРЭ-УО(1)АСВС-ЗКД-D50-С4</t>
  </si>
  <si>
    <t>Проходка кабельная СРЭ-УО(1)АСВС-ЗКД-D100-С4</t>
  </si>
  <si>
    <t>Проходка кабельная СРЭ-УО(1)АСВС-ЗКД-D125-С4</t>
  </si>
  <si>
    <t>Проходка кабельная СРЭ-УК(1)АСВС-ЗСД-100x300-С4</t>
  </si>
  <si>
    <t>Проходка кабельная СРЭ-УК(1)АСВС-ЗСД-200x100-С4</t>
  </si>
  <si>
    <t>Проходка кабельная СРЭ-УК(1)АСВС-ЗСД-200x200-С4</t>
  </si>
  <si>
    <t>Проходка кабельная СРЭ-УК(1)АСВС-ЗСД-200x300-С4</t>
  </si>
  <si>
    <t>Проходка кабельная СРЭ-УК(1)АСВС-ЗСД-400x200-С4</t>
  </si>
  <si>
    <t>Проходка кабельная СРЭ-УК(1)АСВС-ЗСД-400x300-С4</t>
  </si>
  <si>
    <t>Проходка кабельная СРЭ-УК(1)АСВС-ЗСД-400x1500-С4</t>
  </si>
  <si>
    <t>Проходка кабельная СРЭ-УК(1)АСВС-ЗСД-500x200-С4</t>
  </si>
  <si>
    <t>Проходка кабельная СРЭ-УК(1)АСВС-ЗКД-200x300-С4</t>
  </si>
  <si>
    <t>Проходка кабельная СРЭ-УК(1)АСВС-ЗКД-300x200-С4</t>
  </si>
  <si>
    <t>Проходка кабельная СРЭ-УК(1)АСВС-ЗКД-400x200-С4</t>
  </si>
  <si>
    <t>Проходка кабельная СРЭ-УК(1)АСВС-ЗКД-400x1500-С4</t>
  </si>
  <si>
    <t>Проходка кабельная СРЭ-УК(1)АСВС-ЗКД-500x300-С4</t>
  </si>
  <si>
    <t>Проходка кабельная СРЭ-УК(1)АСВС-ЗКД-500x500-С4</t>
  </si>
  <si>
    <t>Проходка кабельная СРЭ-УК(1)АСВС-ЗКД-500x600-С4</t>
  </si>
  <si>
    <t>Проходка кабельная СРЭ-УК(1)АСВС-ЗКД-500x700-С4</t>
  </si>
  <si>
    <t>Проходка кабельная СРЭ-УК(1)АСВС-ЗКД-1000x500-С4</t>
  </si>
  <si>
    <t>Проходка кабельная СРЭ-УЛ(1)АСВС-ЗСД-100x100-С4</t>
  </si>
  <si>
    <t>Проходка кабельная СРЭ-УЛ(1)АСВС-ЗСД-100x200-С4</t>
  </si>
  <si>
    <t>Проходка кабельная СРЭ-УЛ(1)АСВС-ЗСД-250x200-С4</t>
  </si>
  <si>
    <t>Проходка кабельная СРЭ-УЛ(1)АСВС-ЗСД-300x100-С4</t>
  </si>
  <si>
    <t>Проходка кабельная СРЭ-УЛ(1)АСВС-ЗКД-100x100-С4</t>
  </si>
  <si>
    <t>Проходка кабельная СРЭ-УЛ(1)АСВС-ЗКД-100x150-С4</t>
  </si>
  <si>
    <t>Проходка кабельная СРЭ-УЛ(1)АСВС-ЗКД-100x200-С4</t>
  </si>
  <si>
    <t>Проходка кабельная СРЭ-УЛ(1)АСВС-ЗКД-200x100-С4</t>
  </si>
  <si>
    <t>Проходка кабельная СРЭ-УЛ(1)АСВС-ЗКД-250x200-С4</t>
  </si>
  <si>
    <t>Профиль Z-образный монтажный</t>
  </si>
  <si>
    <t>Коробка контрольного зажима по типу КСЗ-1 / Test terminal box by type</t>
  </si>
  <si>
    <t>Заглушка торцевая CH60-2T EP</t>
  </si>
  <si>
    <t>Консоль S-M CA-40-HDG-4226</t>
  </si>
  <si>
    <t>Профиль S-M CH100-HDG-4015
Hilti</t>
  </si>
  <si>
    <t>Проходка кабельная СРЭ-УК(1)АСВС-ЗСД-500x700-С4</t>
  </si>
  <si>
    <t>Проходка кабельная СРЭ-УК(1)АСВС-ЗСД-100x100-С4</t>
  </si>
  <si>
    <t>Проходка кабельная СРЭ-УК(1)АСВС-ЗКД-200x100-С4</t>
  </si>
  <si>
    <t>Крышка SPB CO-CT-100-3000 HDGC4</t>
  </si>
  <si>
    <t>Крышка SPB CO-CT-300-3000 HDGC4</t>
  </si>
  <si>
    <t>Лоток кабельный SPB-RF100 CT-U-100-3000 HDG C4</t>
  </si>
  <si>
    <t>Лоток кабельный SPB-RF100 CT-U-300-3000 HDG C4</t>
  </si>
  <si>
    <t>Консоль S-M CA-40- HDG-4126</t>
  </si>
  <si>
    <t>Консоль S-M CA-40- HDG-4226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</si>
</sst>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-#,##0;0"/>
    <numFmt numFmtId="165" formatCode="#,##0.##"/>
    <numFmt numFmtId="166" formatCode="\+#,##0.##;\-#,##0.##;0"/>
  </numFmts>
  <fonts count="10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sz val="11"/>
      <name val="Calibri"/>
      <family val="2"/>
      <charset val="1"/>
    </font>
    <font>
      <b/>
      <sz val="15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sz val="10"/>
      <name val="Arial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0F766E"/>
        <bgColor rgb="FF008080"/>
      </patternFill>
    </fill>
    <fill>
      <patternFill patternType="solid">
        <fgColor rgb="FF475569"/>
        <bgColor rgb="FF333399"/>
      </patternFill>
    </fill>
    <fill>
      <patternFill patternType="solid">
        <fgColor rgb="FFFFF2CC"/>
        <bgColor rgb="FFEDEDED"/>
      </patternFill>
    </fill>
    <fill>
      <patternFill patternType="solid">
        <fgColor rgb="FFB91C1C"/>
        <bgColor rgb="FF9C0006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9BA3AF"/>
      </left>
      <right/>
      <top/>
      <bottom/>
      <diagonal/>
    </border>
    <border>
      <left style="thin">
        <color rgb="FF9BA3AF"/>
      </left>
      <right style="thin">
        <color rgb="FF9BA3AF"/>
      </right>
      <top style="thin">
        <color rgb="FF9BA3AF"/>
      </top>
      <bottom style="thin">
        <color rgb="FF9BA3AF"/>
      </bottom>
      <diagonal/>
    </border>
    <border>
      <left style="thin">
        <color rgb="FF9BA3AF"/>
      </left>
      <right/>
      <top/>
      <bottom style="thin">
        <color rgb="FF9BA3A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2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3" fontId="0" fillId="0" borderId="4" xfId="0" applyNumberFormat="1" applyBorder="1" applyAlignment="1">
      <alignment horizontal="left" vertical="center" wrapText="1"/>
    </xf>
    <xf numFmtId="165" fontId="0" fillId="0" borderId="4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left" vertical="center" wrapText="1"/>
    </xf>
    <xf numFmtId="0" fontId="0" fillId="5" borderId="4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3" fontId="8" fillId="0" borderId="9" xfId="0" applyNumberFormat="1" applyFont="1" applyBorder="1" applyAlignment="1">
      <alignment horizontal="center" vertical="center"/>
    </xf>
    <xf numFmtId="3" fontId="8" fillId="6" borderId="9" xfId="0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64" fontId="8" fillId="0" borderId="10" xfId="0" applyNumberFormat="1" applyFont="1" applyBorder="1" applyAlignment="1">
      <alignment horizontal="center" vertical="center"/>
    </xf>
    <xf numFmtId="164" fontId="8" fillId="6" borderId="10" xfId="0" applyNumberFormat="1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/>
    </xf>
    <xf numFmtId="0" fontId="9" fillId="6" borderId="9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3" fontId="0" fillId="5" borderId="4" xfId="0" applyNumberFormat="1" applyFill="1" applyBorder="1" applyAlignment="1">
      <alignment horizontal="right" vertical="center" wrapText="1"/>
    </xf>
    <xf numFmtId="0" fontId="0" fillId="5" borderId="4" xfId="0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165" fontId="0" fillId="5" borderId="4" xfId="0" applyNumberFormat="1" applyFill="1" applyBorder="1" applyAlignment="1">
      <alignment horizontal="right" vertical="center" wrapText="1"/>
    </xf>
    <xf numFmtId="165" fontId="0" fillId="0" borderId="4" xfId="0" applyNumberForma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49" fontId="5" fillId="6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6" fillId="7" borderId="4" xfId="0" applyNumberFormat="1" applyFont="1" applyFill="1" applyBorder="1" applyAlignment="1">
      <alignment horizontal="center" vertical="center" wrapText="1"/>
    </xf>
    <xf numFmtId="164" fontId="0" fillId="7" borderId="4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7">
    <dxf>
      <font>
        <color rgb="FF404040"/>
      </font>
      <fill>
        <patternFill patternType="solid">
          <fgColor indexed="64"/>
          <bgColor rgb="FFD9D9D9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EDEDED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E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2563EB"/>
      <rgbColor rgb="FF33CCCC"/>
      <rgbColor rgb="FF99CC00"/>
      <rgbColor rgb="FFFFCC00"/>
      <rgbColor rgb="FFFF9900"/>
      <rgbColor rgb="FFFF6600"/>
      <rgbColor rgb="FF475569"/>
      <rgbColor rgb="FF9BA3AF"/>
      <rgbColor rgb="FF003366"/>
      <rgbColor rgb="FF339966"/>
      <rgbColor rgb="FF003300"/>
      <rgbColor rgb="FF333300"/>
      <rgbColor rgb="FFB9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9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24BBF5-D150-4D71-83EA-0A275D1F587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cf5e786-e85d-4584-bb21-5892439bcf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"/>
  <sheetViews>
    <sheetView tabSelected="1" zoomScale="70" zoomScaleNormal="70" workbookViewId="0">
      <pane xSplit="1" ySplit="3" topLeftCell="J4" activePane="bottomRight" state="frozen"/>
      <selection activeCell="K60" sqref="K60"/>
      <selection pane="topRight" activeCell="K60" sqref="K60"/>
      <selection pane="bottomLeft" activeCell="K60" sqref="K60"/>
      <selection pane="bottomRight" activeCell="U13" sqref="U13"/>
    </sheetView>
  </sheetViews>
  <sheetFormatPr defaultColWidth="8.7109375" defaultRowHeight="15" x14ac:dyDescent="0.25"/>
  <cols>
    <col min="1" max="1" width="48.85546875" customWidth="1"/>
    <col min="2" max="2" width="21.5703125" bestFit="1" customWidth="1"/>
    <col min="3" max="3" width="15.28515625" bestFit="1" customWidth="1"/>
    <col min="4" max="4" width="20.28515625" bestFit="1" customWidth="1"/>
    <col min="5" max="5" width="36.7109375" bestFit="1" customWidth="1"/>
    <col min="6" max="6" width="29.140625" bestFit="1" customWidth="1"/>
    <col min="7" max="7" width="5.28515625" customWidth="1"/>
    <col min="8" max="8" width="18.85546875" bestFit="1" customWidth="1"/>
    <col min="9" max="9" width="17.28515625" bestFit="1" customWidth="1"/>
    <col min="10" max="10" width="31.7109375" bestFit="1" customWidth="1"/>
    <col min="11" max="11" width="21.5703125" bestFit="1" customWidth="1"/>
    <col min="12" max="12" width="19.140625" bestFit="1" customWidth="1"/>
    <col min="13" max="13" width="19.28515625" bestFit="1" customWidth="1"/>
    <col min="14" max="14" width="21.7109375" bestFit="1" customWidth="1"/>
    <col min="15" max="15" width="22.42578125" bestFit="1" customWidth="1"/>
    <col min="16" max="16" width="7.28515625" customWidth="1"/>
    <col min="17" max="17" width="21.5703125" bestFit="1" customWidth="1"/>
    <col min="18" max="18" width="20.5703125" bestFit="1" customWidth="1"/>
    <col min="19" max="19" width="22" bestFit="1" customWidth="1"/>
    <col min="20" max="20" width="22.85546875" bestFit="1" customWidth="1"/>
    <col min="21" max="21" width="60" customWidth="1"/>
  </cols>
  <sheetData>
    <row r="1" spans="1:21" ht="19.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5">
      <c r="A2" s="17" t="s">
        <v>1</v>
      </c>
      <c r="B2" s="17"/>
      <c r="C2" s="17"/>
      <c r="D2" s="17"/>
      <c r="E2" s="17"/>
      <c r="F2" s="17"/>
      <c r="H2" s="18" t="s">
        <v>2</v>
      </c>
      <c r="I2" s="18"/>
      <c r="J2" s="18"/>
      <c r="K2" s="18"/>
      <c r="L2" s="18"/>
      <c r="M2" s="18"/>
      <c r="N2" s="18"/>
      <c r="O2" s="20"/>
      <c r="Q2" s="21" t="s">
        <v>3</v>
      </c>
      <c r="R2" s="22"/>
      <c r="S2" s="22"/>
      <c r="T2" s="23"/>
      <c r="U2" s="19" t="s">
        <v>4</v>
      </c>
    </row>
    <row r="3" spans="1:21" ht="60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H3" s="2" t="s">
        <v>11</v>
      </c>
      <c r="I3" s="2" t="s">
        <v>7</v>
      </c>
      <c r="J3" s="2" t="s">
        <v>5</v>
      </c>
      <c r="K3" s="2" t="s">
        <v>6</v>
      </c>
      <c r="L3" s="2" t="s">
        <v>12</v>
      </c>
      <c r="M3" s="2" t="s">
        <v>13</v>
      </c>
      <c r="N3" s="2" t="s">
        <v>14</v>
      </c>
      <c r="O3" s="20" t="s">
        <v>10</v>
      </c>
      <c r="Q3" s="3" t="s">
        <v>15</v>
      </c>
      <c r="R3" s="1" t="s">
        <v>16</v>
      </c>
      <c r="S3" s="1" t="s">
        <v>17</v>
      </c>
      <c r="T3" s="1" t="s">
        <v>610</v>
      </c>
      <c r="U3" s="19"/>
    </row>
    <row r="4" spans="1:21" ht="45" x14ac:dyDescent="0.25">
      <c r="A4" s="4" t="s">
        <v>18</v>
      </c>
      <c r="B4" s="4" t="s">
        <v>19</v>
      </c>
      <c r="C4" s="5" t="s">
        <v>20</v>
      </c>
      <c r="D4" s="6">
        <v>1</v>
      </c>
      <c r="E4" s="4" t="s">
        <v>21</v>
      </c>
      <c r="F4" s="4" t="s">
        <v>22</v>
      </c>
      <c r="H4" s="35">
        <v>1</v>
      </c>
      <c r="I4" s="36" t="s">
        <v>20</v>
      </c>
      <c r="J4" s="4" t="s">
        <v>18</v>
      </c>
      <c r="K4" s="36" t="s">
        <v>19</v>
      </c>
      <c r="L4" s="4"/>
      <c r="M4" s="4" t="s">
        <v>21</v>
      </c>
      <c r="N4" s="37" t="s">
        <v>23</v>
      </c>
      <c r="O4" s="37"/>
      <c r="Q4" s="7">
        <f>IF(D4="","",D4)</f>
        <v>1</v>
      </c>
      <c r="R4" s="7">
        <f>IF(H4="","",H4)</f>
        <v>1</v>
      </c>
      <c r="S4" s="31" t="str">
        <f>IF(R4="","",IF(N(R4)=0,"NÖTR",IF(Q4="","TEKRAR",IF(ROUND(Q4-R4,2)&gt;=0,"ONAYLANDI","TEKRAR"))))</f>
        <v>ONAYLANDI</v>
      </c>
      <c r="T4" s="8">
        <f>IF(OR(Q4="",R4=""),"",ROUND(Q4-R4,2))</f>
        <v>0</v>
      </c>
      <c r="U4" s="9"/>
    </row>
    <row r="5" spans="1:21" ht="45" x14ac:dyDescent="0.25">
      <c r="A5" s="4" t="s">
        <v>18</v>
      </c>
      <c r="B5" s="4" t="s">
        <v>24</v>
      </c>
      <c r="C5" s="5" t="s">
        <v>20</v>
      </c>
      <c r="D5" s="6">
        <v>1</v>
      </c>
      <c r="E5" s="4" t="s">
        <v>21</v>
      </c>
      <c r="F5" s="4" t="s">
        <v>22</v>
      </c>
      <c r="H5" s="35">
        <v>1</v>
      </c>
      <c r="I5" s="36" t="s">
        <v>20</v>
      </c>
      <c r="J5" s="4" t="s">
        <v>18</v>
      </c>
      <c r="K5" s="36" t="s">
        <v>24</v>
      </c>
      <c r="L5" s="4"/>
      <c r="M5" s="4" t="s">
        <v>21</v>
      </c>
      <c r="N5" s="37" t="s">
        <v>23</v>
      </c>
      <c r="O5" s="37"/>
      <c r="Q5" s="7">
        <f>IF(D5="","",D5)</f>
        <v>1</v>
      </c>
      <c r="R5" s="7">
        <f>IF(H5="","",H5)</f>
        <v>1</v>
      </c>
      <c r="S5" s="31" t="str">
        <f>IF(R5="","",IF(N(R5)=0,"NÖTR",IF(Q5="","TEKRAR",IF(ROUND(Q5-R5,2)&gt;=0,"ONAYLANDI","TEKRAR"))))</f>
        <v>ONAYLANDI</v>
      </c>
      <c r="T5" s="8">
        <f>IF(OR(Q5="",R5=""),"",ROUND(Q5-R5,2))</f>
        <v>0</v>
      </c>
      <c r="U5" s="9"/>
    </row>
    <row r="6" spans="1:21" ht="45" x14ac:dyDescent="0.25">
      <c r="A6" s="4" t="s">
        <v>18</v>
      </c>
      <c r="B6" s="4" t="s">
        <v>25</v>
      </c>
      <c r="C6" s="5" t="s">
        <v>20</v>
      </c>
      <c r="D6" s="6">
        <v>1</v>
      </c>
      <c r="E6" s="4" t="s">
        <v>21</v>
      </c>
      <c r="F6" s="4" t="s">
        <v>22</v>
      </c>
      <c r="H6" s="35">
        <v>1</v>
      </c>
      <c r="I6" s="36" t="s">
        <v>20</v>
      </c>
      <c r="J6" s="4" t="s">
        <v>18</v>
      </c>
      <c r="K6" s="36" t="s">
        <v>25</v>
      </c>
      <c r="L6" s="4"/>
      <c r="M6" s="4" t="s">
        <v>21</v>
      </c>
      <c r="N6" s="37" t="s">
        <v>23</v>
      </c>
      <c r="O6" s="37"/>
      <c r="Q6" s="7">
        <f>IF(D6="","",D6)</f>
        <v>1</v>
      </c>
      <c r="R6" s="7">
        <f>IF(H6="","",H6)</f>
        <v>1</v>
      </c>
      <c r="S6" s="31" t="str">
        <f>IF(R6="","",IF(N(R6)=0,"NÖTR",IF(Q6="","TEKRAR",IF(ROUND(Q6-R6,2)&gt;=0,"ONAYLANDI","TEKRAR"))))</f>
        <v>ONAYLANDI</v>
      </c>
      <c r="T6" s="8">
        <f>IF(OR(Q6="",R6=""),"",ROUND(Q6-R6,2))</f>
        <v>0</v>
      </c>
      <c r="U6" s="9"/>
    </row>
    <row r="7" spans="1:21" ht="45" x14ac:dyDescent="0.25">
      <c r="A7" s="4" t="s">
        <v>18</v>
      </c>
      <c r="B7" s="4" t="s">
        <v>26</v>
      </c>
      <c r="C7" s="5" t="s">
        <v>27</v>
      </c>
      <c r="D7" s="6">
        <v>1</v>
      </c>
      <c r="E7" s="4" t="s">
        <v>21</v>
      </c>
      <c r="F7" s="4" t="s">
        <v>22</v>
      </c>
      <c r="H7" s="35">
        <v>1</v>
      </c>
      <c r="I7" s="36" t="s">
        <v>27</v>
      </c>
      <c r="J7" s="4" t="s">
        <v>18</v>
      </c>
      <c r="K7" s="36" t="s">
        <v>26</v>
      </c>
      <c r="L7" s="4"/>
      <c r="M7" s="4" t="s">
        <v>21</v>
      </c>
      <c r="N7" s="37" t="s">
        <v>23</v>
      </c>
      <c r="O7" s="37"/>
      <c r="Q7" s="7">
        <f>IF(D7="","",D7)</f>
        <v>1</v>
      </c>
      <c r="R7" s="7">
        <f>IF(H7="","",H7)</f>
        <v>1</v>
      </c>
      <c r="S7" s="31" t="str">
        <f>IF(R7="","",IF(N(R7)=0,"NÖTR",IF(Q7="","TEKRAR",IF(ROUND(Q7-R7,2)&gt;=0,"ONAYLANDI","TEKRAR"))))</f>
        <v>ONAYLANDI</v>
      </c>
      <c r="T7" s="8">
        <f>IF(OR(Q7="",R7=""),"",ROUND(Q7-R7,2))</f>
        <v>0</v>
      </c>
      <c r="U7" s="9"/>
    </row>
    <row r="8" spans="1:21" ht="45" x14ac:dyDescent="0.25">
      <c r="A8" s="4" t="s">
        <v>18</v>
      </c>
      <c r="B8" s="4" t="s">
        <v>28</v>
      </c>
      <c r="C8" s="5" t="s">
        <v>20</v>
      </c>
      <c r="D8" s="6">
        <v>1</v>
      </c>
      <c r="E8" s="4" t="s">
        <v>21</v>
      </c>
      <c r="F8" s="4" t="s">
        <v>29</v>
      </c>
      <c r="H8" s="35">
        <v>1</v>
      </c>
      <c r="I8" s="36" t="s">
        <v>20</v>
      </c>
      <c r="J8" s="4" t="s">
        <v>18</v>
      </c>
      <c r="K8" s="36" t="s">
        <v>28</v>
      </c>
      <c r="L8" s="4"/>
      <c r="M8" s="4" t="s">
        <v>21</v>
      </c>
      <c r="N8" s="37" t="s">
        <v>30</v>
      </c>
      <c r="O8" s="37"/>
      <c r="Q8" s="7">
        <f>IF(D8="","",D8)</f>
        <v>1</v>
      </c>
      <c r="R8" s="7">
        <f>IF(H8="","",H8)</f>
        <v>1</v>
      </c>
      <c r="S8" s="31" t="str">
        <f>IF(R8="","",IF(N(R8)=0,"NÖTR",IF(Q8="","TEKRAR",IF(ROUND(Q8-R8,2)&gt;=0,"ONAYLANDI","TEKRAR"))))</f>
        <v>ONAYLANDI</v>
      </c>
      <c r="T8" s="8">
        <f>IF(OR(Q8="",R8=""),"",ROUND(Q8-R8,2))</f>
        <v>0</v>
      </c>
      <c r="U8" s="9"/>
    </row>
    <row r="9" spans="1:21" ht="45" x14ac:dyDescent="0.25">
      <c r="A9" s="4" t="s">
        <v>18</v>
      </c>
      <c r="B9" s="4" t="s">
        <v>31</v>
      </c>
      <c r="C9" s="5" t="s">
        <v>20</v>
      </c>
      <c r="D9" s="6">
        <v>1</v>
      </c>
      <c r="E9" s="4" t="s">
        <v>21</v>
      </c>
      <c r="F9" s="4" t="s">
        <v>22</v>
      </c>
      <c r="H9" s="35">
        <v>1</v>
      </c>
      <c r="I9" s="36" t="s">
        <v>20</v>
      </c>
      <c r="J9" s="4" t="s">
        <v>18</v>
      </c>
      <c r="K9" s="36" t="s">
        <v>31</v>
      </c>
      <c r="L9" s="4"/>
      <c r="M9" s="4" t="s">
        <v>21</v>
      </c>
      <c r="N9" s="37" t="s">
        <v>23</v>
      </c>
      <c r="O9" s="37"/>
      <c r="Q9" s="7">
        <f>IF(D9="","",D9)</f>
        <v>1</v>
      </c>
      <c r="R9" s="7">
        <f>IF(H9="","",H9)</f>
        <v>1</v>
      </c>
      <c r="S9" s="31" t="str">
        <f>IF(R9="","",IF(N(R9)=0,"NÖTR",IF(Q9="","TEKRAR",IF(ROUND(Q9-R9,2)&gt;=0,"ONAYLANDI","TEKRAR"))))</f>
        <v>ONAYLANDI</v>
      </c>
      <c r="T9" s="8">
        <f>IF(OR(Q9="",R9=""),"",ROUND(Q9-R9,2))</f>
        <v>0</v>
      </c>
      <c r="U9" s="9"/>
    </row>
    <row r="10" spans="1:21" ht="45" x14ac:dyDescent="0.25">
      <c r="A10" s="4" t="s">
        <v>18</v>
      </c>
      <c r="B10" s="4" t="s">
        <v>32</v>
      </c>
      <c r="C10" s="5" t="s">
        <v>20</v>
      </c>
      <c r="D10" s="6">
        <v>1</v>
      </c>
      <c r="E10" s="4" t="s">
        <v>21</v>
      </c>
      <c r="F10" s="4" t="s">
        <v>22</v>
      </c>
      <c r="H10" s="35">
        <v>1</v>
      </c>
      <c r="I10" s="36" t="s">
        <v>20</v>
      </c>
      <c r="J10" s="4" t="s">
        <v>18</v>
      </c>
      <c r="K10" s="36" t="s">
        <v>32</v>
      </c>
      <c r="L10" s="4"/>
      <c r="M10" s="4" t="s">
        <v>21</v>
      </c>
      <c r="N10" s="37" t="s">
        <v>23</v>
      </c>
      <c r="O10" s="37"/>
      <c r="Q10" s="7">
        <f>IF(D10="","",D10)</f>
        <v>1</v>
      </c>
      <c r="R10" s="7">
        <f>IF(H10="","",H10)</f>
        <v>1</v>
      </c>
      <c r="S10" s="31" t="str">
        <f>IF(R10="","",IF(N(R10)=0,"NÖTR",IF(Q10="","TEKRAR",IF(ROUND(Q10-R10,2)&gt;=0,"ONAYLANDI","TEKRAR"))))</f>
        <v>ONAYLANDI</v>
      </c>
      <c r="T10" s="8">
        <f>IF(OR(Q10="",R10=""),"",ROUND(Q10-R10,2))</f>
        <v>0</v>
      </c>
      <c r="U10" s="9"/>
    </row>
    <row r="11" spans="1:21" ht="45" x14ac:dyDescent="0.25">
      <c r="A11" s="4" t="s">
        <v>18</v>
      </c>
      <c r="B11" s="4" t="s">
        <v>33</v>
      </c>
      <c r="C11" s="5" t="s">
        <v>20</v>
      </c>
      <c r="D11" s="6">
        <v>1</v>
      </c>
      <c r="E11" s="4" t="s">
        <v>21</v>
      </c>
      <c r="F11" s="4" t="s">
        <v>22</v>
      </c>
      <c r="H11" s="35">
        <v>1</v>
      </c>
      <c r="I11" s="36" t="s">
        <v>20</v>
      </c>
      <c r="J11" s="4" t="s">
        <v>18</v>
      </c>
      <c r="K11" s="36" t="s">
        <v>33</v>
      </c>
      <c r="L11" s="4"/>
      <c r="M11" s="4" t="s">
        <v>21</v>
      </c>
      <c r="N11" s="37" t="s">
        <v>23</v>
      </c>
      <c r="O11" s="37"/>
      <c r="Q11" s="7">
        <f>IF(D11="","",D11)</f>
        <v>1</v>
      </c>
      <c r="R11" s="7">
        <f>IF(H11="","",H11)</f>
        <v>1</v>
      </c>
      <c r="S11" s="31" t="str">
        <f>IF(R11="","",IF(N(R11)=0,"NÖTR",IF(Q11="","TEKRAR",IF(ROUND(Q11-R11,2)&gt;=0,"ONAYLANDI","TEKRAR"))))</f>
        <v>ONAYLANDI</v>
      </c>
      <c r="T11" s="8">
        <f>IF(OR(Q11="",R11=""),"",ROUND(Q11-R11,2))</f>
        <v>0</v>
      </c>
      <c r="U11" s="9"/>
    </row>
    <row r="12" spans="1:21" ht="45" x14ac:dyDescent="0.25">
      <c r="A12" s="4" t="s">
        <v>18</v>
      </c>
      <c r="B12" s="4" t="s">
        <v>34</v>
      </c>
      <c r="C12" s="5" t="s">
        <v>20</v>
      </c>
      <c r="D12" s="6">
        <v>1</v>
      </c>
      <c r="E12" s="4" t="s">
        <v>21</v>
      </c>
      <c r="F12" s="4" t="s">
        <v>22</v>
      </c>
      <c r="H12" s="35">
        <v>1</v>
      </c>
      <c r="I12" s="36" t="s">
        <v>20</v>
      </c>
      <c r="J12" s="4" t="s">
        <v>18</v>
      </c>
      <c r="K12" s="36" t="s">
        <v>34</v>
      </c>
      <c r="L12" s="4"/>
      <c r="M12" s="4" t="s">
        <v>21</v>
      </c>
      <c r="N12" s="37" t="s">
        <v>23</v>
      </c>
      <c r="O12" s="37"/>
      <c r="Q12" s="7">
        <f>IF(D12="","",D12)</f>
        <v>1</v>
      </c>
      <c r="R12" s="7">
        <f>IF(H12="","",H12)</f>
        <v>1</v>
      </c>
      <c r="S12" s="31" t="str">
        <f>IF(R12="","",IF(N(R12)=0,"NÖTR",IF(Q12="","TEKRAR",IF(ROUND(Q12-R12,2)&gt;=0,"ONAYLANDI","TEKRAR"))))</f>
        <v>ONAYLANDI</v>
      </c>
      <c r="T12" s="8">
        <f>IF(OR(Q12="",R12=""),"",ROUND(Q12-R12,2))</f>
        <v>0</v>
      </c>
      <c r="U12" s="9"/>
    </row>
    <row r="13" spans="1:21" ht="45" x14ac:dyDescent="0.25">
      <c r="A13" s="4" t="s">
        <v>18</v>
      </c>
      <c r="B13" s="4" t="s">
        <v>35</v>
      </c>
      <c r="C13" s="5" t="s">
        <v>20</v>
      </c>
      <c r="D13" s="6">
        <v>1</v>
      </c>
      <c r="E13" s="4" t="s">
        <v>21</v>
      </c>
      <c r="F13" s="4" t="s">
        <v>22</v>
      </c>
      <c r="H13" s="35">
        <v>1</v>
      </c>
      <c r="I13" s="36" t="s">
        <v>20</v>
      </c>
      <c r="J13" s="4" t="s">
        <v>18</v>
      </c>
      <c r="K13" s="36" t="s">
        <v>35</v>
      </c>
      <c r="L13" s="4"/>
      <c r="M13" s="4" t="s">
        <v>21</v>
      </c>
      <c r="N13" s="37" t="s">
        <v>23</v>
      </c>
      <c r="O13" s="37"/>
      <c r="Q13" s="7">
        <f>IF(D13="","",D13)</f>
        <v>1</v>
      </c>
      <c r="R13" s="7">
        <f>IF(H13="","",H13)</f>
        <v>1</v>
      </c>
      <c r="S13" s="31" t="str">
        <f>IF(R13="","",IF(N(R13)=0,"NÖTR",IF(Q13="","TEKRAR",IF(ROUND(Q13-R13,2)&gt;=0,"ONAYLANDI","TEKRAR"))))</f>
        <v>ONAYLANDI</v>
      </c>
      <c r="T13" s="8">
        <f>IF(OR(Q13="",R13=""),"",ROUND(Q13-R13,2))</f>
        <v>0</v>
      </c>
      <c r="U13" s="9"/>
    </row>
    <row r="14" spans="1:21" ht="45" x14ac:dyDescent="0.25">
      <c r="A14" s="4" t="s">
        <v>18</v>
      </c>
      <c r="B14" s="4" t="s">
        <v>36</v>
      </c>
      <c r="C14" s="5" t="s">
        <v>20</v>
      </c>
      <c r="D14" s="6">
        <v>1</v>
      </c>
      <c r="E14" s="4" t="s">
        <v>21</v>
      </c>
      <c r="F14" s="4" t="s">
        <v>22</v>
      </c>
      <c r="H14" s="35">
        <v>1</v>
      </c>
      <c r="I14" s="36" t="s">
        <v>20</v>
      </c>
      <c r="J14" s="4" t="s">
        <v>18</v>
      </c>
      <c r="K14" s="36" t="s">
        <v>36</v>
      </c>
      <c r="L14" s="4"/>
      <c r="M14" s="4" t="s">
        <v>21</v>
      </c>
      <c r="N14" s="37" t="s">
        <v>23</v>
      </c>
      <c r="O14" s="37"/>
      <c r="Q14" s="7">
        <f>IF(D14="","",D14)</f>
        <v>1</v>
      </c>
      <c r="R14" s="7">
        <f>IF(H14="","",H14)</f>
        <v>1</v>
      </c>
      <c r="S14" s="31" t="str">
        <f>IF(R14="","",IF(N(R14)=0,"NÖTR",IF(Q14="","TEKRAR",IF(ROUND(Q14-R14,2)&gt;=0,"ONAYLANDI","TEKRAR"))))</f>
        <v>ONAYLANDI</v>
      </c>
      <c r="T14" s="8">
        <f>IF(OR(Q14="",R14=""),"",ROUND(Q14-R14,2))</f>
        <v>0</v>
      </c>
      <c r="U14" s="9"/>
    </row>
    <row r="15" spans="1:21" ht="45" x14ac:dyDescent="0.25">
      <c r="A15" s="4" t="s">
        <v>18</v>
      </c>
      <c r="B15" s="4" t="s">
        <v>37</v>
      </c>
      <c r="C15" s="5" t="s">
        <v>20</v>
      </c>
      <c r="D15" s="6">
        <v>1</v>
      </c>
      <c r="E15" s="4" t="s">
        <v>21</v>
      </c>
      <c r="F15" s="4" t="s">
        <v>38</v>
      </c>
      <c r="H15" s="35">
        <v>1</v>
      </c>
      <c r="I15" s="36" t="s">
        <v>20</v>
      </c>
      <c r="J15" s="4" t="s">
        <v>18</v>
      </c>
      <c r="K15" s="36" t="s">
        <v>37</v>
      </c>
      <c r="L15" s="4"/>
      <c r="M15" s="4" t="s">
        <v>21</v>
      </c>
      <c r="N15" s="37" t="s">
        <v>39</v>
      </c>
      <c r="O15" s="37"/>
      <c r="Q15" s="7">
        <f>IF(D15="","",D15)</f>
        <v>1</v>
      </c>
      <c r="R15" s="7">
        <f>IF(H15="","",H15)</f>
        <v>1</v>
      </c>
      <c r="S15" s="31" t="str">
        <f>IF(R15="","",IF(N(R15)=0,"NÖTR",IF(Q15="","TEKRAR",IF(ROUND(Q15-R15,2)&gt;=0,"ONAYLANDI","TEKRAR"))))</f>
        <v>ONAYLANDI</v>
      </c>
      <c r="T15" s="8">
        <f>IF(OR(Q15="",R15=""),"",ROUND(Q15-R15,2))</f>
        <v>0</v>
      </c>
      <c r="U15" s="9"/>
    </row>
    <row r="16" spans="1:21" ht="45" x14ac:dyDescent="0.25">
      <c r="A16" s="4" t="s">
        <v>18</v>
      </c>
      <c r="B16" s="4" t="s">
        <v>40</v>
      </c>
      <c r="C16" s="5" t="s">
        <v>20</v>
      </c>
      <c r="D16" s="6">
        <v>1</v>
      </c>
      <c r="E16" s="4" t="s">
        <v>21</v>
      </c>
      <c r="F16" s="4" t="s">
        <v>22</v>
      </c>
      <c r="H16" s="35">
        <v>1</v>
      </c>
      <c r="I16" s="36" t="s">
        <v>20</v>
      </c>
      <c r="J16" s="4" t="s">
        <v>18</v>
      </c>
      <c r="K16" s="36" t="s">
        <v>40</v>
      </c>
      <c r="L16" s="4"/>
      <c r="M16" s="4" t="s">
        <v>21</v>
      </c>
      <c r="N16" s="37" t="s">
        <v>23</v>
      </c>
      <c r="O16" s="37"/>
      <c r="Q16" s="7">
        <f>IF(D16="","",D16)</f>
        <v>1</v>
      </c>
      <c r="R16" s="7">
        <f>IF(H16="","",H16)</f>
        <v>1</v>
      </c>
      <c r="S16" s="31" t="str">
        <f>IF(R16="","",IF(N(R16)=0,"NÖTR",IF(Q16="","TEKRAR",IF(ROUND(Q16-R16,2)&gt;=0,"ONAYLANDI","TEKRAR"))))</f>
        <v>ONAYLANDI</v>
      </c>
      <c r="T16" s="8">
        <f>IF(OR(Q16="",R16=""),"",ROUND(Q16-R16,2))</f>
        <v>0</v>
      </c>
      <c r="U16" s="9"/>
    </row>
    <row r="17" spans="1:21" ht="45" x14ac:dyDescent="0.25">
      <c r="A17" s="4" t="s">
        <v>18</v>
      </c>
      <c r="B17" s="4" t="s">
        <v>41</v>
      </c>
      <c r="C17" s="5" t="s">
        <v>20</v>
      </c>
      <c r="D17" s="6">
        <v>1</v>
      </c>
      <c r="E17" s="4" t="s">
        <v>21</v>
      </c>
      <c r="F17" s="4" t="s">
        <v>22</v>
      </c>
      <c r="H17" s="35">
        <v>1</v>
      </c>
      <c r="I17" s="36" t="s">
        <v>20</v>
      </c>
      <c r="J17" s="4" t="s">
        <v>18</v>
      </c>
      <c r="K17" s="36" t="s">
        <v>41</v>
      </c>
      <c r="L17" s="4"/>
      <c r="M17" s="4" t="s">
        <v>21</v>
      </c>
      <c r="N17" s="37" t="s">
        <v>23</v>
      </c>
      <c r="O17" s="37"/>
      <c r="Q17" s="7">
        <f>IF(D17="","",D17)</f>
        <v>1</v>
      </c>
      <c r="R17" s="7">
        <f>IF(H17="","",H17)</f>
        <v>1</v>
      </c>
      <c r="S17" s="31" t="str">
        <f>IF(R17="","",IF(N(R17)=0,"NÖTR",IF(Q17="","TEKRAR",IF(ROUND(Q17-R17,2)&gt;=0,"ONAYLANDI","TEKRAR"))))</f>
        <v>ONAYLANDI</v>
      </c>
      <c r="T17" s="8">
        <f>IF(OR(Q17="",R17=""),"",ROUND(Q17-R17,2))</f>
        <v>0</v>
      </c>
      <c r="U17" s="9"/>
    </row>
    <row r="18" spans="1:21" ht="45" x14ac:dyDescent="0.25">
      <c r="A18" s="4" t="s">
        <v>18</v>
      </c>
      <c r="B18" s="4" t="s">
        <v>42</v>
      </c>
      <c r="C18" s="5" t="s">
        <v>20</v>
      </c>
      <c r="D18" s="6">
        <v>1</v>
      </c>
      <c r="E18" s="4" t="s">
        <v>21</v>
      </c>
      <c r="F18" s="4" t="s">
        <v>22</v>
      </c>
      <c r="H18" s="35">
        <v>1</v>
      </c>
      <c r="I18" s="36" t="s">
        <v>20</v>
      </c>
      <c r="J18" s="4" t="s">
        <v>18</v>
      </c>
      <c r="K18" s="36" t="s">
        <v>42</v>
      </c>
      <c r="L18" s="4"/>
      <c r="M18" s="4" t="s">
        <v>21</v>
      </c>
      <c r="N18" s="37" t="s">
        <v>23</v>
      </c>
      <c r="O18" s="37"/>
      <c r="Q18" s="7">
        <f>IF(D18="","",D18)</f>
        <v>1</v>
      </c>
      <c r="R18" s="7">
        <f>IF(H18="","",H18)</f>
        <v>1</v>
      </c>
      <c r="S18" s="31" t="str">
        <f>IF(R18="","",IF(N(R18)=0,"NÖTR",IF(Q18="","TEKRAR",IF(ROUND(Q18-R18,2)&gt;=0,"ONAYLANDI","TEKRAR"))))</f>
        <v>ONAYLANDI</v>
      </c>
      <c r="T18" s="8">
        <f>IF(OR(Q18="",R18=""),"",ROUND(Q18-R18,2))</f>
        <v>0</v>
      </c>
      <c r="U18" s="9"/>
    </row>
    <row r="19" spans="1:21" ht="45" x14ac:dyDescent="0.25">
      <c r="A19" s="4" t="s">
        <v>18</v>
      </c>
      <c r="B19" s="4" t="s">
        <v>43</v>
      </c>
      <c r="C19" s="5" t="s">
        <v>20</v>
      </c>
      <c r="D19" s="6">
        <v>1</v>
      </c>
      <c r="E19" s="4" t="s">
        <v>21</v>
      </c>
      <c r="F19" s="4" t="s">
        <v>29</v>
      </c>
      <c r="H19" s="35">
        <v>1</v>
      </c>
      <c r="I19" s="36" t="s">
        <v>20</v>
      </c>
      <c r="J19" s="4" t="s">
        <v>18</v>
      </c>
      <c r="K19" s="36" t="s">
        <v>43</v>
      </c>
      <c r="L19" s="4"/>
      <c r="M19" s="4" t="s">
        <v>21</v>
      </c>
      <c r="N19" s="37" t="s">
        <v>30</v>
      </c>
      <c r="O19" s="37"/>
      <c r="Q19" s="7">
        <f>IF(D19="","",D19)</f>
        <v>1</v>
      </c>
      <c r="R19" s="7">
        <f>IF(H19="","",H19)</f>
        <v>1</v>
      </c>
      <c r="S19" s="31" t="str">
        <f>IF(R19="","",IF(N(R19)=0,"NÖTR",IF(Q19="","TEKRAR",IF(ROUND(Q19-R19,2)&gt;=0,"ONAYLANDI","TEKRAR"))))</f>
        <v>ONAYLANDI</v>
      </c>
      <c r="T19" s="8">
        <f>IF(OR(Q19="",R19=""),"",ROUND(Q19-R19,2))</f>
        <v>0</v>
      </c>
      <c r="U19" s="9"/>
    </row>
    <row r="20" spans="1:21" ht="45" x14ac:dyDescent="0.25">
      <c r="A20" s="4" t="s">
        <v>18</v>
      </c>
      <c r="B20" s="4" t="s">
        <v>44</v>
      </c>
      <c r="C20" s="5" t="s">
        <v>20</v>
      </c>
      <c r="D20" s="6">
        <v>1</v>
      </c>
      <c r="E20" s="4" t="s">
        <v>21</v>
      </c>
      <c r="F20" s="4" t="s">
        <v>22</v>
      </c>
      <c r="H20" s="35">
        <v>1</v>
      </c>
      <c r="I20" s="36" t="s">
        <v>20</v>
      </c>
      <c r="J20" s="4" t="s">
        <v>18</v>
      </c>
      <c r="K20" s="36" t="s">
        <v>44</v>
      </c>
      <c r="L20" s="4"/>
      <c r="M20" s="4" t="s">
        <v>21</v>
      </c>
      <c r="N20" s="37" t="s">
        <v>23</v>
      </c>
      <c r="O20" s="37"/>
      <c r="Q20" s="7">
        <f>IF(D20="","",D20)</f>
        <v>1</v>
      </c>
      <c r="R20" s="7">
        <f>IF(H20="","",H20)</f>
        <v>1</v>
      </c>
      <c r="S20" s="31" t="str">
        <f>IF(R20="","",IF(N(R20)=0,"NÖTR",IF(Q20="","TEKRAR",IF(ROUND(Q20-R20,2)&gt;=0,"ONAYLANDI","TEKRAR"))))</f>
        <v>ONAYLANDI</v>
      </c>
      <c r="T20" s="8">
        <f>IF(OR(Q20="",R20=""),"",ROUND(Q20-R20,2))</f>
        <v>0</v>
      </c>
      <c r="U20" s="9"/>
    </row>
    <row r="21" spans="1:21" ht="45" x14ac:dyDescent="0.25">
      <c r="A21" s="4" t="s">
        <v>18</v>
      </c>
      <c r="B21" s="4" t="s">
        <v>45</v>
      </c>
      <c r="C21" s="5" t="s">
        <v>20</v>
      </c>
      <c r="D21" s="6">
        <v>1</v>
      </c>
      <c r="E21" s="4" t="s">
        <v>21</v>
      </c>
      <c r="F21" s="4" t="s">
        <v>22</v>
      </c>
      <c r="H21" s="35">
        <v>1</v>
      </c>
      <c r="I21" s="36" t="s">
        <v>20</v>
      </c>
      <c r="J21" s="4" t="s">
        <v>18</v>
      </c>
      <c r="K21" s="36" t="s">
        <v>45</v>
      </c>
      <c r="L21" s="4"/>
      <c r="M21" s="4" t="s">
        <v>21</v>
      </c>
      <c r="N21" s="37" t="s">
        <v>23</v>
      </c>
      <c r="O21" s="37"/>
      <c r="Q21" s="7">
        <f>IF(D21="","",D21)</f>
        <v>1</v>
      </c>
      <c r="R21" s="7">
        <f>IF(H21="","",H21)</f>
        <v>1</v>
      </c>
      <c r="S21" s="31" t="str">
        <f>IF(R21="","",IF(N(R21)=0,"NÖTR",IF(Q21="","TEKRAR",IF(ROUND(Q21-R21,2)&gt;=0,"ONAYLANDI","TEKRAR"))))</f>
        <v>ONAYLANDI</v>
      </c>
      <c r="T21" s="8">
        <f>IF(OR(Q21="",R21=""),"",ROUND(Q21-R21,2))</f>
        <v>0</v>
      </c>
      <c r="U21" s="9"/>
    </row>
    <row r="22" spans="1:21" ht="45" x14ac:dyDescent="0.25">
      <c r="A22" s="4" t="s">
        <v>46</v>
      </c>
      <c r="B22" s="4" t="s">
        <v>47</v>
      </c>
      <c r="C22" s="5" t="s">
        <v>20</v>
      </c>
      <c r="D22" s="6">
        <v>1014</v>
      </c>
      <c r="E22" s="4" t="s">
        <v>21</v>
      </c>
      <c r="F22" s="4" t="s">
        <v>48</v>
      </c>
      <c r="H22" s="38">
        <f>514+500</f>
        <v>1014</v>
      </c>
      <c r="I22" s="39" t="s">
        <v>20</v>
      </c>
      <c r="J22" s="13" t="s">
        <v>46</v>
      </c>
      <c r="K22" s="39" t="s">
        <v>47</v>
      </c>
      <c r="L22" s="13"/>
      <c r="M22" s="13" t="s">
        <v>21</v>
      </c>
      <c r="N22" s="40" t="s">
        <v>49</v>
      </c>
      <c r="O22" s="40"/>
      <c r="Q22" s="7">
        <f>IF(D22="","",D22)</f>
        <v>1014</v>
      </c>
      <c r="R22" s="7">
        <f>IF(H22="","",H22)</f>
        <v>1014</v>
      </c>
      <c r="S22" s="31" t="str">
        <f>IF(R22="","",IF(N(R22)=0,"NÖTR",IF(Q22="","TEKRAR",IF(ROUND(Q22-R22,2)&gt;=0,"ONAYLANDI","TEKRAR"))))</f>
        <v>ONAYLANDI</v>
      </c>
      <c r="T22" s="8">
        <f>IF(OR(Q22="",R22=""),"",ROUND(Q22-R22,2))</f>
        <v>0</v>
      </c>
      <c r="U22" s="9"/>
    </row>
    <row r="23" spans="1:21" ht="45" x14ac:dyDescent="0.25">
      <c r="A23" s="4" t="s">
        <v>50</v>
      </c>
      <c r="B23" s="4" t="s">
        <v>51</v>
      </c>
      <c r="C23" s="5" t="s">
        <v>52</v>
      </c>
      <c r="D23" s="6">
        <v>400</v>
      </c>
      <c r="E23" s="4" t="s">
        <v>21</v>
      </c>
      <c r="F23" s="4" t="s">
        <v>53</v>
      </c>
      <c r="H23" s="41">
        <f>301.863+98.14</f>
        <v>400.00299999999999</v>
      </c>
      <c r="I23" s="39" t="s">
        <v>52</v>
      </c>
      <c r="J23" s="13" t="s">
        <v>50</v>
      </c>
      <c r="K23" s="39" t="s">
        <v>51</v>
      </c>
      <c r="L23" s="13"/>
      <c r="M23" s="13" t="s">
        <v>21</v>
      </c>
      <c r="N23" s="40" t="s">
        <v>54</v>
      </c>
      <c r="O23" s="40"/>
      <c r="Q23" s="10">
        <f>IF(D23="","",D23)</f>
        <v>400</v>
      </c>
      <c r="R23" s="10">
        <f>IF(H23="","",H23)</f>
        <v>400.00299999999999</v>
      </c>
      <c r="S23" s="31" t="str">
        <f>IF(R23="","",IF(N(R23)=0,"NÖTR",IF(Q23="","TEKRAR",IF(ROUND(Q23-R23,2)&gt;=0,"ONAYLANDI","TEKRAR"))))</f>
        <v>ONAYLANDI</v>
      </c>
      <c r="T23" s="11">
        <f>IF(OR(Q23="",R23=""),"",ROUND(Q23-R23,2))</f>
        <v>0</v>
      </c>
      <c r="U23" s="12"/>
    </row>
    <row r="24" spans="1:21" ht="45" x14ac:dyDescent="0.25">
      <c r="A24" s="4" t="s">
        <v>55</v>
      </c>
      <c r="B24" s="4" t="s">
        <v>56</v>
      </c>
      <c r="C24" s="5" t="s">
        <v>57</v>
      </c>
      <c r="D24" s="6">
        <v>1270</v>
      </c>
      <c r="E24" s="4" t="s">
        <v>58</v>
      </c>
      <c r="F24" s="4" t="s">
        <v>59</v>
      </c>
      <c r="H24" s="35">
        <v>1270</v>
      </c>
      <c r="I24" s="36" t="s">
        <v>57</v>
      </c>
      <c r="J24" s="4" t="s">
        <v>55</v>
      </c>
      <c r="K24" s="36" t="s">
        <v>56</v>
      </c>
      <c r="L24" s="4"/>
      <c r="M24" s="4" t="s">
        <v>58</v>
      </c>
      <c r="N24" s="37" t="s">
        <v>39</v>
      </c>
      <c r="O24" s="37"/>
      <c r="Q24" s="7">
        <f>IF(D24="","",D24)</f>
        <v>1270</v>
      </c>
      <c r="R24" s="7">
        <f>IF(H24="","",H24)</f>
        <v>1270</v>
      </c>
      <c r="S24" s="31" t="str">
        <f>IF(R24="","",IF(N(R24)=0,"NÖTR",IF(Q24="","TEKRAR",IF(ROUND(Q24-R24,2)&gt;=0,"ONAYLANDI","TEKRAR"))))</f>
        <v>ONAYLANDI</v>
      </c>
      <c r="T24" s="8">
        <f>IF(OR(Q24="",R24=""),"",ROUND(Q24-R24,2))</f>
        <v>0</v>
      </c>
      <c r="U24" s="9"/>
    </row>
    <row r="25" spans="1:21" ht="30" x14ac:dyDescent="0.25">
      <c r="A25" s="4" t="s">
        <v>60</v>
      </c>
      <c r="B25" s="4" t="s">
        <v>61</v>
      </c>
      <c r="C25" s="5" t="s">
        <v>20</v>
      </c>
      <c r="D25" s="6">
        <v>6</v>
      </c>
      <c r="E25" s="4" t="s">
        <v>62</v>
      </c>
      <c r="F25" s="4" t="s">
        <v>63</v>
      </c>
      <c r="H25" s="4"/>
      <c r="I25" s="36"/>
      <c r="J25" s="4"/>
      <c r="K25" s="36"/>
      <c r="L25" s="4"/>
      <c r="M25" s="4"/>
      <c r="N25" s="37" t="s">
        <v>608</v>
      </c>
      <c r="O25" s="37"/>
      <c r="Q25" s="7">
        <f>IF(D25="","",D25)</f>
        <v>6</v>
      </c>
      <c r="R25" s="7" t="str">
        <f>IF(H25="","",H25)</f>
        <v/>
      </c>
      <c r="S25" s="31" t="str">
        <f>IF(R25="","",IF(N(R25)=0,"NÖTR",IF(Q25="","TEKRAR",IF(ROUND(Q25-R25,2)&gt;=0,"ONAYLANDI","TEKRAR"))))</f>
        <v/>
      </c>
      <c r="T25" s="8" t="str">
        <f>IF(OR(Q25="",R25=""),"",ROUND(Q25-R25,2))</f>
        <v/>
      </c>
      <c r="U25" s="9"/>
    </row>
    <row r="26" spans="1:21" ht="30" x14ac:dyDescent="0.25">
      <c r="A26" s="4" t="s">
        <v>64</v>
      </c>
      <c r="B26" s="4" t="s">
        <v>65</v>
      </c>
      <c r="C26" s="5" t="s">
        <v>20</v>
      </c>
      <c r="D26" s="6">
        <v>6</v>
      </c>
      <c r="E26" s="4" t="s">
        <v>62</v>
      </c>
      <c r="F26" s="4" t="s">
        <v>63</v>
      </c>
      <c r="H26" s="4"/>
      <c r="I26" s="36"/>
      <c r="J26" s="4"/>
      <c r="K26" s="36"/>
      <c r="L26" s="4"/>
      <c r="M26" s="4"/>
      <c r="N26" s="37" t="s">
        <v>608</v>
      </c>
      <c r="O26" s="37"/>
      <c r="Q26" s="7">
        <f>IF(D26="","",D26)</f>
        <v>6</v>
      </c>
      <c r="R26" s="7" t="str">
        <f>IF(H26="","",H26)</f>
        <v/>
      </c>
      <c r="S26" s="31" t="str">
        <f>IF(R26="","",IF(N(R26)=0,"NÖTR",IF(Q26="","TEKRAR",IF(ROUND(Q26-R26,2)&gt;=0,"ONAYLANDI","TEKRAR"))))</f>
        <v/>
      </c>
      <c r="T26" s="8" t="str">
        <f>IF(OR(Q26="",R26=""),"",ROUND(Q26-R26,2))</f>
        <v/>
      </c>
      <c r="U26" s="9"/>
    </row>
    <row r="27" spans="1:21" ht="105" x14ac:dyDescent="0.25">
      <c r="A27" s="4" t="s">
        <v>66</v>
      </c>
      <c r="B27" s="4" t="s">
        <v>67</v>
      </c>
      <c r="C27" s="5" t="s">
        <v>68</v>
      </c>
      <c r="D27" s="6">
        <v>975</v>
      </c>
      <c r="E27" s="4" t="s">
        <v>62</v>
      </c>
      <c r="F27" s="4" t="s">
        <v>69</v>
      </c>
      <c r="H27" s="4"/>
      <c r="I27" s="36"/>
      <c r="J27" s="4"/>
      <c r="K27" s="36"/>
      <c r="L27" s="4"/>
      <c r="M27" s="4"/>
      <c r="N27" s="37" t="s">
        <v>608</v>
      </c>
      <c r="O27" s="37"/>
      <c r="Q27" s="7">
        <f>IF(D27="","",D27)</f>
        <v>975</v>
      </c>
      <c r="R27" s="7" t="str">
        <f>IF(H27="","",H27)</f>
        <v/>
      </c>
      <c r="S27" s="31" t="str">
        <f>IF(R27="","",IF(N(R27)=0,"NÖTR",IF(Q27="","TEKRAR",IF(ROUND(Q27-R27,2)&gt;=0,"ONAYLANDI","TEKRAR"))))</f>
        <v/>
      </c>
      <c r="T27" s="8" t="str">
        <f>IF(OR(Q27="",R27=""),"",ROUND(Q27-R27,2))</f>
        <v/>
      </c>
      <c r="U27" s="9"/>
    </row>
    <row r="28" spans="1:21" ht="90" x14ac:dyDescent="0.25">
      <c r="A28" s="4" t="s">
        <v>70</v>
      </c>
      <c r="B28" s="4" t="s">
        <v>71</v>
      </c>
      <c r="C28" s="5" t="s">
        <v>68</v>
      </c>
      <c r="D28" s="6">
        <v>567</v>
      </c>
      <c r="E28" s="4" t="s">
        <v>62</v>
      </c>
      <c r="F28" s="4" t="s">
        <v>72</v>
      </c>
      <c r="H28" s="4"/>
      <c r="I28" s="36"/>
      <c r="J28" s="4"/>
      <c r="K28" s="36"/>
      <c r="L28" s="4"/>
      <c r="M28" s="4"/>
      <c r="N28" s="37" t="s">
        <v>608</v>
      </c>
      <c r="O28" s="37"/>
      <c r="Q28" s="7">
        <f>IF(D28="","",D28)</f>
        <v>567</v>
      </c>
      <c r="R28" s="7" t="str">
        <f>IF(H28="","",H28)</f>
        <v/>
      </c>
      <c r="S28" s="31" t="str">
        <f>IF(R28="","",IF(N(R28)=0,"NÖTR",IF(Q28="","TEKRAR",IF(ROUND(Q28-R28,2)&gt;=0,"ONAYLANDI","TEKRAR"))))</f>
        <v/>
      </c>
      <c r="T28" s="8" t="str">
        <f>IF(OR(Q28="",R28=""),"",ROUND(Q28-R28,2))</f>
        <v/>
      </c>
      <c r="U28" s="9"/>
    </row>
    <row r="29" spans="1:21" ht="30" x14ac:dyDescent="0.25">
      <c r="A29" s="4" t="s">
        <v>73</v>
      </c>
      <c r="B29" s="4" t="s">
        <v>74</v>
      </c>
      <c r="C29" s="5" t="s">
        <v>68</v>
      </c>
      <c r="D29" s="6">
        <v>654</v>
      </c>
      <c r="E29" s="4" t="s">
        <v>62</v>
      </c>
      <c r="F29" s="4" t="s">
        <v>75</v>
      </c>
      <c r="H29" s="4"/>
      <c r="I29" s="36"/>
      <c r="J29" s="4"/>
      <c r="K29" s="36"/>
      <c r="L29" s="4"/>
      <c r="M29" s="4"/>
      <c r="N29" s="37" t="s">
        <v>608</v>
      </c>
      <c r="O29" s="37"/>
      <c r="Q29" s="7">
        <f>IF(D29="","",D29)</f>
        <v>654</v>
      </c>
      <c r="R29" s="7" t="str">
        <f>IF(H29="","",H29)</f>
        <v/>
      </c>
      <c r="S29" s="31" t="str">
        <f>IF(R29="","",IF(N(R29)=0,"NÖTR",IF(Q29="","TEKRAR",IF(ROUND(Q29-R29,2)&gt;=0,"ONAYLANDI","TEKRAR"))))</f>
        <v/>
      </c>
      <c r="T29" s="8" t="str">
        <f>IF(OR(Q29="",R29=""),"",ROUND(Q29-R29,2))</f>
        <v/>
      </c>
      <c r="U29" s="9"/>
    </row>
    <row r="30" spans="1:21" ht="45" x14ac:dyDescent="0.25">
      <c r="A30" s="4" t="s">
        <v>76</v>
      </c>
      <c r="B30" s="4" t="s">
        <v>77</v>
      </c>
      <c r="C30" s="5" t="s">
        <v>20</v>
      </c>
      <c r="D30" s="6">
        <v>2973</v>
      </c>
      <c r="E30" s="4" t="s">
        <v>78</v>
      </c>
      <c r="F30" s="4" t="s">
        <v>79</v>
      </c>
      <c r="H30" s="4">
        <v>2973</v>
      </c>
      <c r="I30" s="36" t="s">
        <v>20</v>
      </c>
      <c r="J30" s="4" t="s">
        <v>612</v>
      </c>
      <c r="K30" s="36">
        <v>121491</v>
      </c>
      <c r="L30" s="4"/>
      <c r="M30" s="4"/>
      <c r="N30" s="37" t="s">
        <v>609</v>
      </c>
      <c r="O30" s="37" t="s">
        <v>80</v>
      </c>
      <c r="Q30" s="7">
        <f>IF(D30="","",D30)</f>
        <v>2973</v>
      </c>
      <c r="R30" s="7">
        <f>IF(H30="","",H30)</f>
        <v>2973</v>
      </c>
      <c r="S30" s="31" t="str">
        <f>IF(R30="","",IF(N(R30)=0,"NÖTR",IF(Q30="","TEKRAR",IF(ROUND(Q30-R30,2)&gt;=0,"ONAYLANDI","TEKRAR"))))</f>
        <v>ONAYLANDI</v>
      </c>
      <c r="T30" s="8">
        <f>IF(OR(Q30="",R30=""),"",ROUND(Q30-R30,2))</f>
        <v>0</v>
      </c>
      <c r="U30" s="9"/>
    </row>
    <row r="31" spans="1:21" ht="30" x14ac:dyDescent="0.25">
      <c r="A31" s="4" t="s">
        <v>76</v>
      </c>
      <c r="B31" s="4" t="s">
        <v>77</v>
      </c>
      <c r="C31" s="5" t="s">
        <v>20</v>
      </c>
      <c r="D31" s="6">
        <v>32</v>
      </c>
      <c r="E31" s="4" t="s">
        <v>81</v>
      </c>
      <c r="F31" s="4" t="s">
        <v>82</v>
      </c>
      <c r="H31" s="4">
        <v>32</v>
      </c>
      <c r="I31" s="36" t="s">
        <v>83</v>
      </c>
      <c r="J31" s="4" t="s">
        <v>613</v>
      </c>
      <c r="K31" s="36">
        <v>121491</v>
      </c>
      <c r="L31" s="4"/>
      <c r="M31" s="4"/>
      <c r="N31" s="37" t="s">
        <v>609</v>
      </c>
      <c r="O31" s="37">
        <v>17062026</v>
      </c>
      <c r="Q31" s="7">
        <f>IF(D31="","",D31)</f>
        <v>32</v>
      </c>
      <c r="R31" s="7">
        <f>IF(H31="","",H31)</f>
        <v>32</v>
      </c>
      <c r="S31" s="31" t="str">
        <f>IF(R31="","",IF(N(R31)=0,"NÖTR",IF(Q31="","TEKRAR",IF(ROUND(Q31-R31,2)&gt;=0,"ONAYLANDI","TEKRAR"))))</f>
        <v>ONAYLANDI</v>
      </c>
      <c r="T31" s="8">
        <f>IF(OR(Q31="",R31=""),"",ROUND(Q31-R31,2))</f>
        <v>0</v>
      </c>
      <c r="U31" s="9"/>
    </row>
    <row r="32" spans="1:21" ht="45" x14ac:dyDescent="0.25">
      <c r="A32" s="4" t="s">
        <v>84</v>
      </c>
      <c r="B32" s="4" t="s">
        <v>85</v>
      </c>
      <c r="C32" s="5" t="s">
        <v>20</v>
      </c>
      <c r="D32" s="6">
        <v>860</v>
      </c>
      <c r="E32" s="4" t="s">
        <v>78</v>
      </c>
      <c r="F32" s="4" t="s">
        <v>86</v>
      </c>
      <c r="H32" s="4">
        <v>860</v>
      </c>
      <c r="I32" s="36" t="s">
        <v>20</v>
      </c>
      <c r="J32" s="4" t="s">
        <v>614</v>
      </c>
      <c r="K32" s="36">
        <v>121504</v>
      </c>
      <c r="L32" s="4"/>
      <c r="M32" s="4"/>
      <c r="N32" s="37" t="s">
        <v>609</v>
      </c>
      <c r="O32" s="37" t="s">
        <v>87</v>
      </c>
      <c r="Q32" s="7">
        <f>IF(D32="","",D32)</f>
        <v>860</v>
      </c>
      <c r="R32" s="7">
        <f>IF(H32="","",H32)</f>
        <v>860</v>
      </c>
      <c r="S32" s="31" t="str">
        <f>IF(R32="","",IF(N(R32)=0,"NÖTR",IF(Q32="","TEKRAR",IF(ROUND(Q32-R32,2)&gt;=0,"ONAYLANDI","TEKRAR"))))</f>
        <v>ONAYLANDI</v>
      </c>
      <c r="T32" s="8">
        <f>IF(OR(Q32="",R32=""),"",ROUND(Q32-R32,2))</f>
        <v>0</v>
      </c>
      <c r="U32" s="9"/>
    </row>
    <row r="33" spans="1:21" ht="75" x14ac:dyDescent="0.25">
      <c r="A33" s="4" t="s">
        <v>84</v>
      </c>
      <c r="B33" s="4" t="s">
        <v>85</v>
      </c>
      <c r="C33" s="5" t="s">
        <v>20</v>
      </c>
      <c r="D33" s="6">
        <v>10</v>
      </c>
      <c r="E33" s="4" t="s">
        <v>81</v>
      </c>
      <c r="F33" s="4" t="s">
        <v>82</v>
      </c>
      <c r="H33" s="4">
        <v>10</v>
      </c>
      <c r="I33" s="36" t="s">
        <v>83</v>
      </c>
      <c r="J33" s="4" t="s">
        <v>88</v>
      </c>
      <c r="K33" s="36"/>
      <c r="L33" s="4"/>
      <c r="M33" s="4"/>
      <c r="N33" s="37" t="s">
        <v>609</v>
      </c>
      <c r="O33" s="37">
        <v>17062026</v>
      </c>
      <c r="Q33" s="7">
        <f>IF(D33="","",D33)</f>
        <v>10</v>
      </c>
      <c r="R33" s="7">
        <f>IF(H33="","",H33)</f>
        <v>10</v>
      </c>
      <c r="S33" s="31" t="str">
        <f>IF(R33="","",IF(N(R33)=0,"NÖTR",IF(Q33="","TEKRAR",IF(ROUND(Q33-R33,2)&gt;=0,"ONAYLANDI","TEKRAR"))))</f>
        <v>ONAYLANDI</v>
      </c>
      <c r="T33" s="8">
        <f>IF(OR(Q33="",R33=""),"",ROUND(Q33-R33,2))</f>
        <v>0</v>
      </c>
      <c r="U33" s="9"/>
    </row>
    <row r="34" spans="1:21" ht="45" x14ac:dyDescent="0.25">
      <c r="A34" s="4" t="s">
        <v>89</v>
      </c>
      <c r="B34" s="4" t="s">
        <v>90</v>
      </c>
      <c r="C34" s="5" t="s">
        <v>20</v>
      </c>
      <c r="D34" s="6">
        <v>58</v>
      </c>
      <c r="E34" s="4" t="s">
        <v>78</v>
      </c>
      <c r="F34" s="4" t="s">
        <v>91</v>
      </c>
      <c r="H34" s="35">
        <v>58</v>
      </c>
      <c r="I34" s="36" t="s">
        <v>20</v>
      </c>
      <c r="J34" s="4" t="s">
        <v>89</v>
      </c>
      <c r="K34" s="36">
        <v>121506</v>
      </c>
      <c r="L34" s="4"/>
      <c r="M34" s="4" t="s">
        <v>78</v>
      </c>
      <c r="N34" s="37" t="s">
        <v>92</v>
      </c>
      <c r="O34" s="37"/>
      <c r="Q34" s="7">
        <f>IF(D34="","",D34)</f>
        <v>58</v>
      </c>
      <c r="R34" s="7">
        <f>IF(H34="","",H34)</f>
        <v>58</v>
      </c>
      <c r="S34" s="31" t="str">
        <f>IF(R34="","",IF(N(R34)=0,"NÖTR",IF(Q34="","TEKRAR",IF(ROUND(Q34-R34,2)&gt;=0,"ONAYLANDI","TEKRAR"))))</f>
        <v>ONAYLANDI</v>
      </c>
      <c r="T34" s="8">
        <f>IF(OR(Q34="",R34=""),"",ROUND(Q34-R34,2))</f>
        <v>0</v>
      </c>
      <c r="U34" s="9"/>
    </row>
    <row r="35" spans="1:21" ht="30" x14ac:dyDescent="0.25">
      <c r="A35" s="4" t="s">
        <v>93</v>
      </c>
      <c r="B35" s="4" t="s">
        <v>94</v>
      </c>
      <c r="C35" s="5" t="s">
        <v>20</v>
      </c>
      <c r="D35" s="6">
        <v>29</v>
      </c>
      <c r="E35" s="4" t="s">
        <v>78</v>
      </c>
      <c r="F35" s="4" t="s">
        <v>95</v>
      </c>
      <c r="H35" s="4">
        <v>29</v>
      </c>
      <c r="I35" s="36" t="s">
        <v>20</v>
      </c>
      <c r="J35" s="4" t="s">
        <v>615</v>
      </c>
      <c r="K35" s="36">
        <v>121509</v>
      </c>
      <c r="L35" s="4"/>
      <c r="M35" s="4"/>
      <c r="N35" s="37" t="s">
        <v>609</v>
      </c>
      <c r="O35" s="37">
        <v>4032026</v>
      </c>
      <c r="Q35" s="7">
        <f>IF(D35="","",D35)</f>
        <v>29</v>
      </c>
      <c r="R35" s="7">
        <f>IF(H35="","",H35)</f>
        <v>29</v>
      </c>
      <c r="S35" s="31" t="str">
        <f>IF(R35="","",IF(N(R35)=0,"NÖTR",IF(Q35="","TEKRAR",IF(ROUND(Q35-R35,2)&gt;=0,"ONAYLANDI","TEKRAR"))))</f>
        <v>ONAYLANDI</v>
      </c>
      <c r="T35" s="8">
        <f>IF(OR(Q35="",R35=""),"",ROUND(Q35-R35,2))</f>
        <v>0</v>
      </c>
      <c r="U35" s="9"/>
    </row>
    <row r="36" spans="1:21" ht="30" x14ac:dyDescent="0.25">
      <c r="A36" s="4" t="s">
        <v>96</v>
      </c>
      <c r="B36" s="4" t="s">
        <v>97</v>
      </c>
      <c r="C36" s="5" t="s">
        <v>20</v>
      </c>
      <c r="D36" s="6">
        <v>70</v>
      </c>
      <c r="E36" s="4" t="s">
        <v>78</v>
      </c>
      <c r="F36" s="4" t="s">
        <v>98</v>
      </c>
      <c r="H36" s="4">
        <v>70</v>
      </c>
      <c r="I36" s="36" t="s">
        <v>20</v>
      </c>
      <c r="J36" s="4" t="s">
        <v>616</v>
      </c>
      <c r="K36" s="36">
        <v>121511</v>
      </c>
      <c r="L36" s="4"/>
      <c r="M36" s="4"/>
      <c r="N36" s="37" t="s">
        <v>609</v>
      </c>
      <c r="O36" s="37" t="s">
        <v>99</v>
      </c>
      <c r="Q36" s="7">
        <f>IF(D36="","",D36)</f>
        <v>70</v>
      </c>
      <c r="R36" s="7">
        <f>IF(H36="","",H36)</f>
        <v>70</v>
      </c>
      <c r="S36" s="31" t="str">
        <f>IF(R36="","",IF(N(R36)=0,"NÖTR",IF(Q36="","TEKRAR",IF(ROUND(Q36-R36,2)&gt;=0,"ONAYLANDI","TEKRAR"))))</f>
        <v>ONAYLANDI</v>
      </c>
      <c r="T36" s="8">
        <f>IF(OR(Q36="",R36=""),"",ROUND(Q36-R36,2))</f>
        <v>0</v>
      </c>
      <c r="U36" s="9"/>
    </row>
    <row r="37" spans="1:21" ht="45" x14ac:dyDescent="0.25">
      <c r="A37" s="4" t="s">
        <v>100</v>
      </c>
      <c r="B37" s="4" t="s">
        <v>101</v>
      </c>
      <c r="C37" s="5" t="s">
        <v>20</v>
      </c>
      <c r="D37" s="6">
        <v>969</v>
      </c>
      <c r="E37" s="4" t="s">
        <v>78</v>
      </c>
      <c r="F37" s="4" t="s">
        <v>86</v>
      </c>
      <c r="H37" s="4">
        <v>969</v>
      </c>
      <c r="I37" s="36" t="s">
        <v>20</v>
      </c>
      <c r="J37" s="4" t="s">
        <v>617</v>
      </c>
      <c r="K37" s="36">
        <v>121543</v>
      </c>
      <c r="L37" s="4"/>
      <c r="M37" s="4"/>
      <c r="N37" s="37" t="s">
        <v>609</v>
      </c>
      <c r="O37" s="37" t="s">
        <v>87</v>
      </c>
      <c r="Q37" s="7">
        <f>IF(D37="","",D37)</f>
        <v>969</v>
      </c>
      <c r="R37" s="7">
        <f>IF(H37="","",H37)</f>
        <v>969</v>
      </c>
      <c r="S37" s="31" t="str">
        <f>IF(R37="","",IF(N(R37)=0,"NÖTR",IF(Q37="","TEKRAR",IF(ROUND(Q37-R37,2)&gt;=0,"ONAYLANDI","TEKRAR"))))</f>
        <v>ONAYLANDI</v>
      </c>
      <c r="T37" s="8">
        <f>IF(OR(Q37="",R37=""),"",ROUND(Q37-R37,2))</f>
        <v>0</v>
      </c>
      <c r="U37" s="9"/>
    </row>
    <row r="38" spans="1:21" ht="75" x14ac:dyDescent="0.25">
      <c r="A38" s="4" t="s">
        <v>100</v>
      </c>
      <c r="B38" s="4" t="s">
        <v>101</v>
      </c>
      <c r="C38" s="5" t="s">
        <v>20</v>
      </c>
      <c r="D38" s="6">
        <v>84</v>
      </c>
      <c r="E38" s="4" t="s">
        <v>81</v>
      </c>
      <c r="F38" s="4" t="s">
        <v>82</v>
      </c>
      <c r="H38" s="4">
        <v>84</v>
      </c>
      <c r="I38" s="36" t="s">
        <v>83</v>
      </c>
      <c r="J38" s="4" t="s">
        <v>102</v>
      </c>
      <c r="K38" s="36"/>
      <c r="L38" s="4"/>
      <c r="M38" s="4"/>
      <c r="N38" s="37" t="s">
        <v>609</v>
      </c>
      <c r="O38" s="37">
        <v>17062026</v>
      </c>
      <c r="Q38" s="7">
        <f>IF(D38="","",D38)</f>
        <v>84</v>
      </c>
      <c r="R38" s="7">
        <f>IF(H38="","",H38)</f>
        <v>84</v>
      </c>
      <c r="S38" s="31" t="str">
        <f>IF(R38="","",IF(N(R38)=0,"NÖTR",IF(Q38="","TEKRAR",IF(ROUND(Q38-R38,2)&gt;=0,"ONAYLANDI","TEKRAR"))))</f>
        <v>ONAYLANDI</v>
      </c>
      <c r="T38" s="8">
        <f>IF(OR(Q38="",R38=""),"",ROUND(Q38-R38,2))</f>
        <v>0</v>
      </c>
      <c r="U38" s="9"/>
    </row>
    <row r="39" spans="1:21" ht="45" x14ac:dyDescent="0.25">
      <c r="A39" s="4" t="s">
        <v>103</v>
      </c>
      <c r="B39" s="4" t="s">
        <v>104</v>
      </c>
      <c r="C39" s="5" t="s">
        <v>20</v>
      </c>
      <c r="D39" s="6">
        <v>81</v>
      </c>
      <c r="E39" s="4" t="s">
        <v>78</v>
      </c>
      <c r="F39" s="4" t="s">
        <v>105</v>
      </c>
      <c r="H39" s="4">
        <f>44+37</f>
        <v>81</v>
      </c>
      <c r="I39" s="36" t="s">
        <v>20</v>
      </c>
      <c r="J39" s="4" t="s">
        <v>618</v>
      </c>
      <c r="K39" s="36">
        <v>121547</v>
      </c>
      <c r="L39" s="4"/>
      <c r="M39" s="4"/>
      <c r="N39" s="37" t="s">
        <v>609</v>
      </c>
      <c r="O39" s="37" t="s">
        <v>106</v>
      </c>
      <c r="Q39" s="7">
        <f>IF(D39="","",D39)</f>
        <v>81</v>
      </c>
      <c r="R39" s="7">
        <f>IF(H39="","",H39)</f>
        <v>81</v>
      </c>
      <c r="S39" s="31" t="str">
        <f>IF(R39="","",IF(N(R39)=0,"NÖTR",IF(Q39="","TEKRAR",IF(ROUND(Q39-R39,2)&gt;=0,"ONAYLANDI","TEKRAR"))))</f>
        <v>ONAYLANDI</v>
      </c>
      <c r="T39" s="8">
        <f>IF(OR(Q39="",R39=""),"",ROUND(Q39-R39,2))</f>
        <v>0</v>
      </c>
      <c r="U39" s="9"/>
    </row>
    <row r="40" spans="1:21" ht="30" x14ac:dyDescent="0.25">
      <c r="A40" s="4" t="s">
        <v>107</v>
      </c>
      <c r="B40" s="4" t="s">
        <v>108</v>
      </c>
      <c r="C40" s="5" t="s">
        <v>20</v>
      </c>
      <c r="D40" s="6">
        <v>28</v>
      </c>
      <c r="E40" s="4" t="s">
        <v>78</v>
      </c>
      <c r="F40" s="4" t="s">
        <v>109</v>
      </c>
      <c r="H40" s="4">
        <v>28</v>
      </c>
      <c r="I40" s="36" t="s">
        <v>20</v>
      </c>
      <c r="J40" s="4" t="s">
        <v>619</v>
      </c>
      <c r="K40" s="36">
        <v>121557</v>
      </c>
      <c r="L40" s="4"/>
      <c r="M40" s="4"/>
      <c r="N40" s="37" t="s">
        <v>609</v>
      </c>
      <c r="O40" s="37" t="s">
        <v>110</v>
      </c>
      <c r="Q40" s="7">
        <f>IF(D40="","",D40)</f>
        <v>28</v>
      </c>
      <c r="R40" s="7">
        <f>IF(H40="","",H40)</f>
        <v>28</v>
      </c>
      <c r="S40" s="31" t="str">
        <f>IF(R40="","",IF(N(R40)=0,"NÖTR",IF(Q40="","TEKRAR",IF(ROUND(Q40-R40,2)&gt;=0,"ONAYLANDI","TEKRAR"))))</f>
        <v>ONAYLANDI</v>
      </c>
      <c r="T40" s="8">
        <f>IF(OR(Q40="",R40=""),"",ROUND(Q40-R40,2))</f>
        <v>0</v>
      </c>
      <c r="U40" s="9"/>
    </row>
    <row r="41" spans="1:21" ht="45" x14ac:dyDescent="0.25">
      <c r="A41" s="4" t="s">
        <v>111</v>
      </c>
      <c r="B41" s="4" t="s">
        <v>112</v>
      </c>
      <c r="C41" s="5" t="s">
        <v>20</v>
      </c>
      <c r="D41" s="6">
        <v>4</v>
      </c>
      <c r="E41" s="4" t="s">
        <v>78</v>
      </c>
      <c r="F41" s="4" t="s">
        <v>91</v>
      </c>
      <c r="H41" s="35">
        <v>4</v>
      </c>
      <c r="I41" s="36" t="s">
        <v>20</v>
      </c>
      <c r="J41" s="4" t="s">
        <v>111</v>
      </c>
      <c r="K41" s="36">
        <v>121567</v>
      </c>
      <c r="L41" s="4"/>
      <c r="M41" s="4" t="s">
        <v>78</v>
      </c>
      <c r="N41" s="37" t="s">
        <v>92</v>
      </c>
      <c r="O41" s="37"/>
      <c r="Q41" s="7">
        <f>IF(D41="","",D41)</f>
        <v>4</v>
      </c>
      <c r="R41" s="7">
        <f>IF(H41="","",H41)</f>
        <v>4</v>
      </c>
      <c r="S41" s="31" t="str">
        <f>IF(R41="","",IF(N(R41)=0,"NÖTR",IF(Q41="","TEKRAR",IF(ROUND(Q41-R41,2)&gt;=0,"ONAYLANDI","TEKRAR"))))</f>
        <v>ONAYLANDI</v>
      </c>
      <c r="T41" s="8">
        <f>IF(OR(Q41="",R41=""),"",ROUND(Q41-R41,2))</f>
        <v>0</v>
      </c>
      <c r="U41" s="9"/>
    </row>
    <row r="42" spans="1:21" ht="45" x14ac:dyDescent="0.25">
      <c r="A42" s="4" t="s">
        <v>113</v>
      </c>
      <c r="B42" s="4" t="s">
        <v>114</v>
      </c>
      <c r="C42" s="5" t="s">
        <v>115</v>
      </c>
      <c r="D42" s="6">
        <v>420</v>
      </c>
      <c r="E42" s="4" t="s">
        <v>78</v>
      </c>
      <c r="F42" s="4" t="s">
        <v>116</v>
      </c>
      <c r="H42" s="35">
        <f>72+420</f>
        <v>492</v>
      </c>
      <c r="I42" s="36" t="s">
        <v>115</v>
      </c>
      <c r="J42" s="4" t="s">
        <v>113</v>
      </c>
      <c r="K42" s="36">
        <v>121577</v>
      </c>
      <c r="L42" s="4"/>
      <c r="M42" s="4" t="s">
        <v>78</v>
      </c>
      <c r="N42" s="37" t="s">
        <v>600</v>
      </c>
      <c r="O42" s="37" t="s">
        <v>118</v>
      </c>
      <c r="Q42" s="7">
        <f>IF(D42="","",D42)</f>
        <v>420</v>
      </c>
      <c r="R42" s="7">
        <f>IF(H42="","",H42)</f>
        <v>492</v>
      </c>
      <c r="S42" s="31" t="str">
        <f>IF(R42="","",IF(N(R42)=0,"NÖTR",IF(Q42="","TEKRAR",IF(ROUND(Q42-R42,2)&gt;=0,"ONAYLANDI","TEKRAR"))))</f>
        <v>TEKRAR</v>
      </c>
      <c r="T42" s="8">
        <f>IF(OR(Q42="",R42=""),"",ROUND(Q42-R42,2))</f>
        <v>-72</v>
      </c>
      <c r="U42" s="9"/>
    </row>
    <row r="43" spans="1:21" ht="45" x14ac:dyDescent="0.25">
      <c r="A43" s="4" t="s">
        <v>119</v>
      </c>
      <c r="B43" s="4" t="s">
        <v>120</v>
      </c>
      <c r="C43" s="5" t="s">
        <v>115</v>
      </c>
      <c r="D43" s="6">
        <v>924</v>
      </c>
      <c r="E43" s="4" t="s">
        <v>78</v>
      </c>
      <c r="F43" s="4" t="s">
        <v>116</v>
      </c>
      <c r="H43" s="4">
        <v>906</v>
      </c>
      <c r="I43" s="36" t="s">
        <v>117</v>
      </c>
      <c r="J43" s="4" t="s">
        <v>121</v>
      </c>
      <c r="K43" s="36"/>
      <c r="L43" s="4"/>
      <c r="M43" s="4"/>
      <c r="N43" s="37" t="s">
        <v>609</v>
      </c>
      <c r="O43" s="37" t="s">
        <v>122</v>
      </c>
      <c r="Q43" s="7">
        <f>IF(D43="","",D43)</f>
        <v>924</v>
      </c>
      <c r="R43" s="7">
        <f>IF(H43="","",H43)</f>
        <v>906</v>
      </c>
      <c r="S43" s="31" t="str">
        <f>IF(R43="","",IF(N(R43)=0,"NÖTR",IF(Q43="","TEKRAR",IF(ROUND(Q43-R43,2)&gt;=0,"ONAYLANDI","TEKRAR"))))</f>
        <v>ONAYLANDI</v>
      </c>
      <c r="T43" s="8">
        <f>IF(OR(Q43="",R43=""),"",ROUND(Q43-R43,2))</f>
        <v>18</v>
      </c>
      <c r="U43" s="9"/>
    </row>
    <row r="44" spans="1:21" ht="150" x14ac:dyDescent="0.25">
      <c r="A44" s="4" t="s">
        <v>123</v>
      </c>
      <c r="B44" s="4" t="s">
        <v>124</v>
      </c>
      <c r="C44" s="5" t="s">
        <v>20</v>
      </c>
      <c r="D44" s="6">
        <v>20</v>
      </c>
      <c r="E44" s="4" t="s">
        <v>81</v>
      </c>
      <c r="F44" s="4" t="s">
        <v>82</v>
      </c>
      <c r="H44" s="35">
        <f>2+18</f>
        <v>20</v>
      </c>
      <c r="I44" s="36" t="s">
        <v>20</v>
      </c>
      <c r="J44" s="4" t="s">
        <v>125</v>
      </c>
      <c r="K44" s="36">
        <v>121617</v>
      </c>
      <c r="L44" s="4"/>
      <c r="M44" s="4" t="s">
        <v>81</v>
      </c>
      <c r="N44" s="37" t="s">
        <v>601</v>
      </c>
      <c r="O44" s="37">
        <v>17062026</v>
      </c>
      <c r="Q44" s="7">
        <f>IF(D44="","",D44)</f>
        <v>20</v>
      </c>
      <c r="R44" s="7">
        <f>IF(H44="","",H44)</f>
        <v>20</v>
      </c>
      <c r="S44" s="31" t="str">
        <f>IF(R44="","",IF(N(R44)=0,"NÖTR",IF(Q44="","TEKRAR",IF(ROUND(Q44-R44,2)&gt;=0,"ONAYLANDI","TEKRAR"))))</f>
        <v>ONAYLANDI</v>
      </c>
      <c r="T44" s="8">
        <f>IF(OR(Q44="",R44=""),"",ROUND(Q44-R44,2))</f>
        <v>0</v>
      </c>
      <c r="U44" s="9"/>
    </row>
    <row r="45" spans="1:21" ht="30" x14ac:dyDescent="0.25">
      <c r="A45" s="4" t="s">
        <v>127</v>
      </c>
      <c r="B45" s="4" t="s">
        <v>128</v>
      </c>
      <c r="C45" s="5" t="s">
        <v>68</v>
      </c>
      <c r="D45" s="6">
        <v>9</v>
      </c>
      <c r="E45" s="4" t="s">
        <v>78</v>
      </c>
      <c r="F45" s="4" t="s">
        <v>129</v>
      </c>
      <c r="H45" s="4"/>
      <c r="I45" s="36"/>
      <c r="J45" s="4"/>
      <c r="K45" s="36"/>
      <c r="L45" s="4"/>
      <c r="M45" s="4"/>
      <c r="N45" s="37" t="s">
        <v>608</v>
      </c>
      <c r="O45" s="37"/>
      <c r="Q45" s="7">
        <f>IF(D45="","",D45)</f>
        <v>9</v>
      </c>
      <c r="R45" s="7" t="str">
        <f>IF(H45="","",H45)</f>
        <v/>
      </c>
      <c r="S45" s="31" t="str">
        <f>IF(R45="","",IF(N(R45)=0,"NÖTR",IF(Q45="","TEKRAR",IF(ROUND(Q45-R45,2)&gt;=0,"ONAYLANDI","TEKRAR"))))</f>
        <v/>
      </c>
      <c r="T45" s="8" t="str">
        <f>IF(OR(Q45="",R45=""),"",ROUND(Q45-R45,2))</f>
        <v/>
      </c>
      <c r="U45" s="9"/>
    </row>
    <row r="46" spans="1:21" ht="30" x14ac:dyDescent="0.25">
      <c r="A46" s="4" t="s">
        <v>130</v>
      </c>
      <c r="B46" s="4" t="s">
        <v>131</v>
      </c>
      <c r="C46" s="5" t="s">
        <v>20</v>
      </c>
      <c r="D46" s="6">
        <v>29</v>
      </c>
      <c r="E46" s="4" t="s">
        <v>78</v>
      </c>
      <c r="F46" s="4" t="s">
        <v>95</v>
      </c>
      <c r="H46" s="4">
        <v>11</v>
      </c>
      <c r="I46" s="36" t="s">
        <v>117</v>
      </c>
      <c r="J46" s="4" t="s">
        <v>620</v>
      </c>
      <c r="K46" s="36">
        <v>122504</v>
      </c>
      <c r="L46" s="4"/>
      <c r="M46" s="4"/>
      <c r="N46" s="37" t="s">
        <v>609</v>
      </c>
      <c r="O46" s="37">
        <v>4032026</v>
      </c>
      <c r="Q46" s="7">
        <f>IF(D46="","",D46)</f>
        <v>29</v>
      </c>
      <c r="R46" s="7">
        <f>IF(H46="","",H46)</f>
        <v>11</v>
      </c>
      <c r="S46" s="31" t="str">
        <f>IF(R46="","",IF(N(R46)=0,"NÖTR",IF(Q46="","TEKRAR",IF(ROUND(Q46-R46,2)&gt;=0,"ONAYLANDI","TEKRAR"))))</f>
        <v>ONAYLANDI</v>
      </c>
      <c r="T46" s="8">
        <f>IF(OR(Q46="",R46=""),"",ROUND(Q46-R46,2))</f>
        <v>18</v>
      </c>
      <c r="U46" s="9"/>
    </row>
    <row r="47" spans="1:21" ht="45" x14ac:dyDescent="0.25">
      <c r="A47" s="4" t="s">
        <v>132</v>
      </c>
      <c r="B47" s="4" t="s">
        <v>133</v>
      </c>
      <c r="C47" s="5" t="s">
        <v>20</v>
      </c>
      <c r="D47" s="6">
        <v>170</v>
      </c>
      <c r="E47" s="4" t="s">
        <v>78</v>
      </c>
      <c r="F47" s="4" t="s">
        <v>98</v>
      </c>
      <c r="H47" s="38">
        <f>64+42+64</f>
        <v>170</v>
      </c>
      <c r="I47" s="39" t="s">
        <v>20</v>
      </c>
      <c r="J47" s="13" t="s">
        <v>134</v>
      </c>
      <c r="K47" s="39">
        <v>122506</v>
      </c>
      <c r="L47" s="13"/>
      <c r="M47" s="13" t="s">
        <v>78</v>
      </c>
      <c r="N47" s="40" t="s">
        <v>602</v>
      </c>
      <c r="O47" s="40" t="s">
        <v>99</v>
      </c>
      <c r="Q47" s="7">
        <f>IF(D47="","",D47)</f>
        <v>170</v>
      </c>
      <c r="R47" s="7">
        <f>IF(H47="","",H47)</f>
        <v>170</v>
      </c>
      <c r="S47" s="31" t="str">
        <f>IF(R47="","",IF(N(R47)=0,"NÖTR",IF(Q47="","TEKRAR",IF(ROUND(Q47-R47,2)&gt;=0,"ONAYLANDI","TEKRAR"))))</f>
        <v>ONAYLANDI</v>
      </c>
      <c r="T47" s="8">
        <f>IF(OR(Q47="",R47=""),"",ROUND(Q47-R47,2))</f>
        <v>0</v>
      </c>
      <c r="U47" s="9"/>
    </row>
    <row r="48" spans="1:21" ht="45" x14ac:dyDescent="0.25">
      <c r="A48" s="4" t="s">
        <v>136</v>
      </c>
      <c r="B48" s="4" t="s">
        <v>137</v>
      </c>
      <c r="C48" s="5" t="s">
        <v>20</v>
      </c>
      <c r="D48" s="6">
        <v>2</v>
      </c>
      <c r="E48" s="4" t="s">
        <v>78</v>
      </c>
      <c r="F48" s="4" t="s">
        <v>138</v>
      </c>
      <c r="H48" s="35">
        <f>1+1</f>
        <v>2</v>
      </c>
      <c r="I48" s="36" t="s">
        <v>20</v>
      </c>
      <c r="J48" s="4" t="s">
        <v>136</v>
      </c>
      <c r="K48" s="36">
        <v>122518</v>
      </c>
      <c r="L48" s="4"/>
      <c r="M48" s="4" t="s">
        <v>78</v>
      </c>
      <c r="N48" s="37" t="s">
        <v>601</v>
      </c>
      <c r="O48" s="37">
        <v>16062026</v>
      </c>
      <c r="Q48" s="7">
        <f>IF(D48="","",D48)</f>
        <v>2</v>
      </c>
      <c r="R48" s="7">
        <f>IF(H48="","",H48)</f>
        <v>2</v>
      </c>
      <c r="S48" s="31" t="str">
        <f>IF(R48="","",IF(N(R48)=0,"NÖTR",IF(Q48="","TEKRAR",IF(ROUND(Q48-R48,2)&gt;=0,"ONAYLANDI","TEKRAR"))))</f>
        <v>ONAYLANDI</v>
      </c>
      <c r="T48" s="8">
        <f>IF(OR(Q48="",R48=""),"",ROUND(Q48-R48,2))</f>
        <v>0</v>
      </c>
      <c r="U48" s="9"/>
    </row>
    <row r="49" spans="1:21" ht="30" x14ac:dyDescent="0.25">
      <c r="A49" s="4" t="s">
        <v>139</v>
      </c>
      <c r="B49" s="4" t="s">
        <v>140</v>
      </c>
      <c r="C49" s="5" t="s">
        <v>20</v>
      </c>
      <c r="D49" s="6">
        <v>18</v>
      </c>
      <c r="E49" s="4" t="s">
        <v>78</v>
      </c>
      <c r="F49" s="4" t="s">
        <v>98</v>
      </c>
      <c r="H49" s="4">
        <v>18</v>
      </c>
      <c r="I49" s="36" t="s">
        <v>117</v>
      </c>
      <c r="J49" s="4" t="s">
        <v>621</v>
      </c>
      <c r="K49" s="36">
        <v>122520</v>
      </c>
      <c r="L49" s="4"/>
      <c r="M49" s="4"/>
      <c r="N49" s="37" t="s">
        <v>609</v>
      </c>
      <c r="O49" s="37" t="s">
        <v>99</v>
      </c>
      <c r="Q49" s="7">
        <f>IF(D49="","",D49)</f>
        <v>18</v>
      </c>
      <c r="R49" s="7">
        <f>IF(H49="","",H49)</f>
        <v>18</v>
      </c>
      <c r="S49" s="31" t="str">
        <f>IF(R49="","",IF(N(R49)=0,"NÖTR",IF(Q49="","TEKRAR",IF(ROUND(Q49-R49,2)&gt;=0,"ONAYLANDI","TEKRAR"))))</f>
        <v>ONAYLANDI</v>
      </c>
      <c r="T49" s="8">
        <f>IF(OR(Q49="",R49=""),"",ROUND(Q49-R49,2))</f>
        <v>0</v>
      </c>
      <c r="U49" s="9"/>
    </row>
    <row r="50" spans="1:21" ht="30" x14ac:dyDescent="0.25">
      <c r="A50" s="4" t="s">
        <v>141</v>
      </c>
      <c r="B50" s="4" t="s">
        <v>142</v>
      </c>
      <c r="C50" s="5" t="s">
        <v>20</v>
      </c>
      <c r="D50" s="6">
        <v>63</v>
      </c>
      <c r="E50" s="4" t="s">
        <v>78</v>
      </c>
      <c r="F50" s="4" t="s">
        <v>95</v>
      </c>
      <c r="H50" s="4">
        <v>63</v>
      </c>
      <c r="I50" s="36" t="s">
        <v>117</v>
      </c>
      <c r="J50" s="4" t="s">
        <v>622</v>
      </c>
      <c r="K50" s="36">
        <v>122532</v>
      </c>
      <c r="L50" s="4"/>
      <c r="M50" s="4"/>
      <c r="N50" s="37" t="s">
        <v>609</v>
      </c>
      <c r="O50" s="37">
        <v>4032026</v>
      </c>
      <c r="Q50" s="7">
        <f>IF(D50="","",D50)</f>
        <v>63</v>
      </c>
      <c r="R50" s="7">
        <f>IF(H50="","",H50)</f>
        <v>63</v>
      </c>
      <c r="S50" s="31" t="str">
        <f>IF(R50="","",IF(N(R50)=0,"NÖTR",IF(Q50="","TEKRAR",IF(ROUND(Q50-R50,2)&gt;=0,"ONAYLANDI","TEKRAR"))))</f>
        <v>ONAYLANDI</v>
      </c>
      <c r="T50" s="8">
        <f>IF(OR(Q50="",R50=""),"",ROUND(Q50-R50,2))</f>
        <v>0</v>
      </c>
      <c r="U50" s="9"/>
    </row>
    <row r="51" spans="1:21" ht="30" x14ac:dyDescent="0.25">
      <c r="A51" s="4" t="s">
        <v>143</v>
      </c>
      <c r="B51" s="4" t="s">
        <v>144</v>
      </c>
      <c r="C51" s="5" t="s">
        <v>20</v>
      </c>
      <c r="D51" s="6">
        <v>56</v>
      </c>
      <c r="E51" s="4" t="s">
        <v>78</v>
      </c>
      <c r="F51" s="4" t="s">
        <v>98</v>
      </c>
      <c r="H51" s="4">
        <v>56</v>
      </c>
      <c r="I51" s="36" t="s">
        <v>117</v>
      </c>
      <c r="J51" s="4" t="s">
        <v>623</v>
      </c>
      <c r="K51" s="36">
        <v>122534</v>
      </c>
      <c r="L51" s="4"/>
      <c r="M51" s="4"/>
      <c r="N51" s="37" t="s">
        <v>609</v>
      </c>
      <c r="O51" s="37" t="s">
        <v>99</v>
      </c>
      <c r="Q51" s="7">
        <f>IF(D51="","",D51)</f>
        <v>56</v>
      </c>
      <c r="R51" s="7">
        <f>IF(H51="","",H51)</f>
        <v>56</v>
      </c>
      <c r="S51" s="31" t="str">
        <f>IF(R51="","",IF(N(R51)=0,"NÖTR",IF(Q51="","TEKRAR",IF(ROUND(Q51-R51,2)&gt;=0,"ONAYLANDI","TEKRAR"))))</f>
        <v>ONAYLANDI</v>
      </c>
      <c r="T51" s="8">
        <f>IF(OR(Q51="",R51=""),"",ROUND(Q51-R51,2))</f>
        <v>0</v>
      </c>
      <c r="U51" s="9"/>
    </row>
    <row r="52" spans="1:21" ht="90" x14ac:dyDescent="0.25">
      <c r="A52" s="4" t="s">
        <v>145</v>
      </c>
      <c r="B52" s="4" t="s">
        <v>146</v>
      </c>
      <c r="C52" s="5" t="s">
        <v>115</v>
      </c>
      <c r="D52" s="6">
        <v>1906</v>
      </c>
      <c r="E52" s="4" t="s">
        <v>78</v>
      </c>
      <c r="F52" s="4" t="s">
        <v>147</v>
      </c>
      <c r="H52" s="4">
        <v>1906</v>
      </c>
      <c r="I52" s="36" t="s">
        <v>115</v>
      </c>
      <c r="J52" s="4" t="s">
        <v>624</v>
      </c>
      <c r="K52" s="36">
        <v>122538</v>
      </c>
      <c r="L52" s="4"/>
      <c r="M52" s="4"/>
      <c r="N52" s="37" t="s">
        <v>609</v>
      </c>
      <c r="O52" s="37" t="s">
        <v>148</v>
      </c>
      <c r="Q52" s="7">
        <f>IF(D52="","",D52)</f>
        <v>1906</v>
      </c>
      <c r="R52" s="7">
        <f>IF(H52="","",H52)</f>
        <v>1906</v>
      </c>
      <c r="S52" s="31" t="str">
        <f>IF(R52="","",IF(N(R52)=0,"NÖTR",IF(Q52="","TEKRAR",IF(ROUND(Q52-R52,2)&gt;=0,"ONAYLANDI","TEKRAR"))))</f>
        <v>ONAYLANDI</v>
      </c>
      <c r="T52" s="8">
        <f>IF(OR(Q52="",R52=""),"",ROUND(Q52-R52,2))</f>
        <v>0</v>
      </c>
      <c r="U52" s="9"/>
    </row>
    <row r="53" spans="1:21" ht="30" x14ac:dyDescent="0.25">
      <c r="A53" s="4" t="s">
        <v>145</v>
      </c>
      <c r="B53" s="4" t="s">
        <v>146</v>
      </c>
      <c r="C53" s="5" t="s">
        <v>115</v>
      </c>
      <c r="D53" s="6">
        <v>1224</v>
      </c>
      <c r="E53" s="4" t="s">
        <v>81</v>
      </c>
      <c r="F53" s="4" t="s">
        <v>149</v>
      </c>
      <c r="H53" s="4">
        <v>1224</v>
      </c>
      <c r="I53" s="36" t="s">
        <v>150</v>
      </c>
      <c r="J53" s="4" t="s">
        <v>625</v>
      </c>
      <c r="K53" s="36">
        <v>122538</v>
      </c>
      <c r="L53" s="4"/>
      <c r="M53" s="4"/>
      <c r="N53" s="37" t="s">
        <v>609</v>
      </c>
      <c r="O53" s="37" t="s">
        <v>151</v>
      </c>
      <c r="Q53" s="7">
        <f>IF(D53="","",D53)</f>
        <v>1224</v>
      </c>
      <c r="R53" s="7">
        <f>IF(H53="","",H53)</f>
        <v>1224</v>
      </c>
      <c r="S53" s="31" t="str">
        <f>IF(R53="","",IF(N(R53)=0,"NÖTR",IF(Q53="","TEKRAR",IF(ROUND(Q53-R53,2)&gt;=0,"ONAYLANDI","TEKRAR"))))</f>
        <v>ONAYLANDI</v>
      </c>
      <c r="T53" s="8">
        <f>IF(OR(Q53="",R53=""),"",ROUND(Q53-R53,2))</f>
        <v>0</v>
      </c>
      <c r="U53" s="9"/>
    </row>
    <row r="54" spans="1:21" ht="60" x14ac:dyDescent="0.25">
      <c r="A54" s="4" t="s">
        <v>152</v>
      </c>
      <c r="B54" s="4" t="s">
        <v>153</v>
      </c>
      <c r="C54" s="5" t="s">
        <v>20</v>
      </c>
      <c r="D54" s="6">
        <v>9</v>
      </c>
      <c r="E54" s="4" t="s">
        <v>62</v>
      </c>
      <c r="F54" s="4" t="s">
        <v>63</v>
      </c>
      <c r="H54" s="35">
        <v>9</v>
      </c>
      <c r="I54" s="36" t="s">
        <v>20</v>
      </c>
      <c r="J54" s="4" t="s">
        <v>152</v>
      </c>
      <c r="K54" s="36">
        <v>122893</v>
      </c>
      <c r="L54" s="4"/>
      <c r="M54" s="4" t="s">
        <v>62</v>
      </c>
      <c r="N54" s="37" t="s">
        <v>154</v>
      </c>
      <c r="O54" s="37"/>
      <c r="Q54" s="7">
        <f>IF(D54="","",D54)</f>
        <v>9</v>
      </c>
      <c r="R54" s="7">
        <f>IF(H54="","",H54)</f>
        <v>9</v>
      </c>
      <c r="S54" s="31" t="str">
        <f>IF(R54="","",IF(N(R54)=0,"NÖTR",IF(Q54="","TEKRAR",IF(ROUND(Q54-R54,2)&gt;=0,"ONAYLANDI","TEKRAR"))))</f>
        <v>ONAYLANDI</v>
      </c>
      <c r="T54" s="8">
        <f>IF(OR(Q54="",R54=""),"",ROUND(Q54-R54,2))</f>
        <v>0</v>
      </c>
      <c r="U54" s="9"/>
    </row>
    <row r="55" spans="1:21" ht="30" x14ac:dyDescent="0.25">
      <c r="A55" s="4" t="s">
        <v>155</v>
      </c>
      <c r="B55" s="4" t="s">
        <v>156</v>
      </c>
      <c r="C55" s="5" t="s">
        <v>20</v>
      </c>
      <c r="D55" s="6">
        <v>6</v>
      </c>
      <c r="E55" s="4" t="s">
        <v>62</v>
      </c>
      <c r="F55" s="4" t="s">
        <v>63</v>
      </c>
      <c r="H55" s="4"/>
      <c r="I55" s="36"/>
      <c r="J55" s="4"/>
      <c r="K55" s="36"/>
      <c r="L55" s="4"/>
      <c r="M55" s="4"/>
      <c r="N55" s="37" t="s">
        <v>608</v>
      </c>
      <c r="O55" s="37"/>
      <c r="Q55" s="7">
        <f>IF(D55="","",D55)</f>
        <v>6</v>
      </c>
      <c r="R55" s="7" t="str">
        <f>IF(H55="","",H55)</f>
        <v/>
      </c>
      <c r="S55" s="31" t="str">
        <f>IF(R55="","",IF(N(R55)=0,"NÖTR",IF(Q55="","TEKRAR",IF(ROUND(Q55-R55,2)&gt;=0,"ONAYLANDI","TEKRAR"))))</f>
        <v/>
      </c>
      <c r="T55" s="8" t="str">
        <f>IF(OR(Q55="",R55=""),"",ROUND(Q55-R55,2))</f>
        <v/>
      </c>
      <c r="U55" s="9"/>
    </row>
    <row r="56" spans="1:21" ht="60" x14ac:dyDescent="0.25">
      <c r="A56" s="4" t="s">
        <v>157</v>
      </c>
      <c r="B56" s="4" t="s">
        <v>158</v>
      </c>
      <c r="C56" s="5" t="s">
        <v>115</v>
      </c>
      <c r="D56" s="6">
        <v>378</v>
      </c>
      <c r="E56" s="4" t="s">
        <v>78</v>
      </c>
      <c r="F56" s="4" t="s">
        <v>159</v>
      </c>
      <c r="H56" s="4">
        <v>378</v>
      </c>
      <c r="I56" s="36" t="s">
        <v>115</v>
      </c>
      <c r="J56" s="4" t="s">
        <v>160</v>
      </c>
      <c r="K56" s="36"/>
      <c r="L56" s="4"/>
      <c r="M56" s="4"/>
      <c r="N56" s="37" t="s">
        <v>609</v>
      </c>
      <c r="O56" s="37" t="s">
        <v>161</v>
      </c>
      <c r="Q56" s="7">
        <f>IF(D56="","",D56)</f>
        <v>378</v>
      </c>
      <c r="R56" s="7">
        <f>IF(H56="","",H56)</f>
        <v>378</v>
      </c>
      <c r="S56" s="31" t="str">
        <f>IF(R56="","",IF(N(R56)=0,"NÖTR",IF(Q56="","TEKRAR",IF(ROUND(Q56-R56,2)&gt;=0,"ONAYLANDI","TEKRAR"))))</f>
        <v>ONAYLANDI</v>
      </c>
      <c r="T56" s="8">
        <f>IF(OR(Q56="",R56=""),"",ROUND(Q56-R56,2))</f>
        <v>0</v>
      </c>
      <c r="U56" s="9"/>
    </row>
    <row r="57" spans="1:21" ht="60" x14ac:dyDescent="0.25">
      <c r="A57" s="4" t="s">
        <v>162</v>
      </c>
      <c r="B57" s="4" t="s">
        <v>163</v>
      </c>
      <c r="C57" s="5" t="s">
        <v>115</v>
      </c>
      <c r="D57" s="6">
        <v>1041</v>
      </c>
      <c r="E57" s="4" t="s">
        <v>78</v>
      </c>
      <c r="F57" s="4" t="s">
        <v>164</v>
      </c>
      <c r="H57" s="35">
        <v>873</v>
      </c>
      <c r="I57" s="36" t="s">
        <v>115</v>
      </c>
      <c r="J57" s="4" t="s">
        <v>162</v>
      </c>
      <c r="K57" s="36">
        <v>124676</v>
      </c>
      <c r="L57" s="4"/>
      <c r="M57" s="4" t="s">
        <v>78</v>
      </c>
      <c r="N57" s="37" t="s">
        <v>92</v>
      </c>
      <c r="O57" s="37"/>
      <c r="Q57" s="7">
        <f>IF(D57="","",D57)</f>
        <v>1041</v>
      </c>
      <c r="R57" s="7">
        <f>IF(H57="","",H57)</f>
        <v>873</v>
      </c>
      <c r="S57" s="31" t="str">
        <f>IF(R57="","",IF(N(R57)=0,"NÖTR",IF(Q57="","TEKRAR",IF(ROUND(Q57-R57,2)&gt;=0,"ONAYLANDI","TEKRAR"))))</f>
        <v>ONAYLANDI</v>
      </c>
      <c r="T57" s="8">
        <f>IF(OR(Q57="",R57=""),"",ROUND(Q57-R57,2))</f>
        <v>168</v>
      </c>
      <c r="U57" s="9"/>
    </row>
    <row r="58" spans="1:21" ht="30" x14ac:dyDescent="0.25">
      <c r="A58" s="4" t="s">
        <v>165</v>
      </c>
      <c r="B58" s="4" t="s">
        <v>166</v>
      </c>
      <c r="C58" s="5" t="s">
        <v>68</v>
      </c>
      <c r="D58" s="6">
        <v>27</v>
      </c>
      <c r="E58" s="4" t="s">
        <v>78</v>
      </c>
      <c r="F58" s="4" t="s">
        <v>129</v>
      </c>
      <c r="H58" s="4"/>
      <c r="I58" s="36"/>
      <c r="J58" s="4"/>
      <c r="K58" s="36"/>
      <c r="L58" s="4"/>
      <c r="M58" s="4"/>
      <c r="N58" s="37" t="s">
        <v>608</v>
      </c>
      <c r="O58" s="37"/>
      <c r="Q58" s="7">
        <f>IF(D58="","",D58)</f>
        <v>27</v>
      </c>
      <c r="R58" s="7" t="str">
        <f>IF(H58="","",H58)</f>
        <v/>
      </c>
      <c r="S58" s="31" t="str">
        <f>IF(R58="","",IF(N(R58)=0,"NÖTR",IF(Q58="","TEKRAR",IF(ROUND(Q58-R58,2)&gt;=0,"ONAYLANDI","TEKRAR"))))</f>
        <v/>
      </c>
      <c r="T58" s="8" t="str">
        <f>IF(OR(Q58="",R58=""),"",ROUND(Q58-R58,2))</f>
        <v/>
      </c>
      <c r="U58" s="9"/>
    </row>
    <row r="59" spans="1:21" ht="30" x14ac:dyDescent="0.25">
      <c r="A59" s="4" t="s">
        <v>167</v>
      </c>
      <c r="B59" s="4" t="s">
        <v>168</v>
      </c>
      <c r="C59" s="5" t="s">
        <v>20</v>
      </c>
      <c r="D59" s="6">
        <v>63</v>
      </c>
      <c r="E59" s="4" t="s">
        <v>78</v>
      </c>
      <c r="F59" s="4" t="s">
        <v>169</v>
      </c>
      <c r="H59" s="4">
        <v>63</v>
      </c>
      <c r="I59" s="36" t="s">
        <v>20</v>
      </c>
      <c r="J59" s="4" t="s">
        <v>626</v>
      </c>
      <c r="K59" s="36">
        <v>124705</v>
      </c>
      <c r="L59" s="4"/>
      <c r="M59" s="4"/>
      <c r="N59" s="37" t="s">
        <v>609</v>
      </c>
      <c r="O59" s="37">
        <v>3032026</v>
      </c>
      <c r="Q59" s="7">
        <f>IF(D59="","",D59)</f>
        <v>63</v>
      </c>
      <c r="R59" s="7">
        <f>IF(H59="","",H59)</f>
        <v>63</v>
      </c>
      <c r="S59" s="31" t="str">
        <f>IF(R59="","",IF(N(R59)=0,"NÖTR",IF(Q59="","TEKRAR",IF(ROUND(Q59-R59,2)&gt;=0,"ONAYLANDI","TEKRAR"))))</f>
        <v>ONAYLANDI</v>
      </c>
      <c r="T59" s="8">
        <f>IF(OR(Q59="",R59=""),"",ROUND(Q59-R59,2))</f>
        <v>0</v>
      </c>
      <c r="U59" s="9"/>
    </row>
    <row r="60" spans="1:21" ht="30" x14ac:dyDescent="0.25">
      <c r="A60" s="4" t="s">
        <v>170</v>
      </c>
      <c r="B60" s="4" t="s">
        <v>171</v>
      </c>
      <c r="C60" s="5" t="s">
        <v>20</v>
      </c>
      <c r="D60" s="6">
        <v>29</v>
      </c>
      <c r="E60" s="4" t="s">
        <v>78</v>
      </c>
      <c r="F60" s="4" t="s">
        <v>172</v>
      </c>
      <c r="H60" s="4">
        <v>29</v>
      </c>
      <c r="I60" s="36" t="s">
        <v>20</v>
      </c>
      <c r="J60" s="4" t="s">
        <v>627</v>
      </c>
      <c r="K60" s="36">
        <v>124711</v>
      </c>
      <c r="L60" s="4"/>
      <c r="M60" s="4"/>
      <c r="N60" s="37" t="s">
        <v>609</v>
      </c>
      <c r="O60" s="37">
        <v>27022026</v>
      </c>
      <c r="Q60" s="7">
        <f>IF(D60="","",D60)</f>
        <v>29</v>
      </c>
      <c r="R60" s="7">
        <f>IF(H60="","",H60)</f>
        <v>29</v>
      </c>
      <c r="S60" s="31" t="str">
        <f>IF(R60="","",IF(N(R60)=0,"NÖTR",IF(Q60="","TEKRAR",IF(ROUND(Q60-R60,2)&gt;=0,"ONAYLANDI","TEKRAR"))))</f>
        <v>ONAYLANDI</v>
      </c>
      <c r="T60" s="8">
        <f>IF(OR(Q60="",R60=""),"",ROUND(Q60-R60,2))</f>
        <v>0</v>
      </c>
      <c r="U60" s="9"/>
    </row>
    <row r="61" spans="1:21" ht="30" x14ac:dyDescent="0.25">
      <c r="A61" s="4" t="s">
        <v>173</v>
      </c>
      <c r="B61" s="4" t="s">
        <v>174</v>
      </c>
      <c r="C61" s="5" t="s">
        <v>20</v>
      </c>
      <c r="D61" s="6">
        <v>70</v>
      </c>
      <c r="E61" s="4" t="s">
        <v>78</v>
      </c>
      <c r="F61" s="4" t="s">
        <v>175</v>
      </c>
      <c r="H61" s="4">
        <v>70</v>
      </c>
      <c r="I61" s="36" t="s">
        <v>20</v>
      </c>
      <c r="J61" s="4" t="s">
        <v>628</v>
      </c>
      <c r="K61" s="36">
        <v>124713</v>
      </c>
      <c r="L61" s="4"/>
      <c r="M61" s="4"/>
      <c r="N61" s="37" t="s">
        <v>609</v>
      </c>
      <c r="O61" s="37" t="s">
        <v>99</v>
      </c>
      <c r="Q61" s="7">
        <f>IF(D61="","",D61)</f>
        <v>70</v>
      </c>
      <c r="R61" s="7">
        <f>IF(H61="","",H61)</f>
        <v>70</v>
      </c>
      <c r="S61" s="31" t="str">
        <f>IF(R61="","",IF(N(R61)=0,"NÖTR",IF(Q61="","TEKRAR",IF(ROUND(Q61-R61,2)&gt;=0,"ONAYLANDI","TEKRAR"))))</f>
        <v>ONAYLANDI</v>
      </c>
      <c r="T61" s="8">
        <f>IF(OR(Q61="",R61=""),"",ROUND(Q61-R61,2))</f>
        <v>0</v>
      </c>
      <c r="U61" s="9"/>
    </row>
    <row r="62" spans="1:21" ht="30" x14ac:dyDescent="0.25">
      <c r="A62" s="4" t="s">
        <v>176</v>
      </c>
      <c r="B62" s="4" t="s">
        <v>177</v>
      </c>
      <c r="C62" s="5" t="s">
        <v>20</v>
      </c>
      <c r="D62" s="6">
        <v>2</v>
      </c>
      <c r="E62" s="4" t="s">
        <v>78</v>
      </c>
      <c r="F62" s="4" t="s">
        <v>138</v>
      </c>
      <c r="H62" s="4">
        <v>2</v>
      </c>
      <c r="I62" s="36" t="s">
        <v>20</v>
      </c>
      <c r="J62" s="4" t="s">
        <v>629</v>
      </c>
      <c r="K62" s="36">
        <v>124719</v>
      </c>
      <c r="L62" s="4"/>
      <c r="M62" s="4"/>
      <c r="N62" s="37" t="s">
        <v>609</v>
      </c>
      <c r="O62" s="37">
        <v>16062026</v>
      </c>
      <c r="Q62" s="7">
        <f>IF(D62="","",D62)</f>
        <v>2</v>
      </c>
      <c r="R62" s="7">
        <f>IF(H62="","",H62)</f>
        <v>2</v>
      </c>
      <c r="S62" s="31" t="str">
        <f>IF(R62="","",IF(N(R62)=0,"NÖTR",IF(Q62="","TEKRAR",IF(ROUND(Q62-R62,2)&gt;=0,"ONAYLANDI","TEKRAR"))))</f>
        <v>ONAYLANDI</v>
      </c>
      <c r="T62" s="8">
        <f>IF(OR(Q62="",R62=""),"",ROUND(Q62-R62,2))</f>
        <v>0</v>
      </c>
      <c r="U62" s="9"/>
    </row>
    <row r="63" spans="1:21" ht="45" x14ac:dyDescent="0.25">
      <c r="A63" s="4" t="s">
        <v>178</v>
      </c>
      <c r="B63" s="4" t="s">
        <v>179</v>
      </c>
      <c r="C63" s="5" t="s">
        <v>20</v>
      </c>
      <c r="D63" s="6">
        <v>18</v>
      </c>
      <c r="E63" s="4" t="s">
        <v>78</v>
      </c>
      <c r="F63" s="4" t="s">
        <v>175</v>
      </c>
      <c r="H63" s="35">
        <f>4+18</f>
        <v>22</v>
      </c>
      <c r="I63" s="36" t="s">
        <v>20</v>
      </c>
      <c r="J63" s="4" t="s">
        <v>178</v>
      </c>
      <c r="K63" s="36">
        <v>124721</v>
      </c>
      <c r="L63" s="4"/>
      <c r="M63" s="4" t="s">
        <v>78</v>
      </c>
      <c r="N63" s="37" t="s">
        <v>600</v>
      </c>
      <c r="O63" s="37" t="s">
        <v>180</v>
      </c>
      <c r="Q63" s="7">
        <f>IF(D63="","",D63)</f>
        <v>18</v>
      </c>
      <c r="R63" s="7">
        <f>IF(H63="","",H63)</f>
        <v>22</v>
      </c>
      <c r="S63" s="31" t="str">
        <f>IF(R63="","",IF(N(R63)=0,"NÖTR",IF(Q63="","TEKRAR",IF(ROUND(Q63-R63,2)&gt;=0,"ONAYLANDI","TEKRAR"))))</f>
        <v>TEKRAR</v>
      </c>
      <c r="T63" s="8">
        <f>IF(OR(Q63="",R63=""),"",ROUND(Q63-R63,2))</f>
        <v>-4</v>
      </c>
      <c r="U63" s="9"/>
    </row>
    <row r="64" spans="1:21" ht="45" x14ac:dyDescent="0.25">
      <c r="A64" s="4" t="s">
        <v>181</v>
      </c>
      <c r="B64" s="4" t="s">
        <v>182</v>
      </c>
      <c r="C64" s="5" t="s">
        <v>20</v>
      </c>
      <c r="D64" s="6">
        <v>922</v>
      </c>
      <c r="E64" s="4" t="s">
        <v>78</v>
      </c>
      <c r="F64" s="4" t="s">
        <v>183</v>
      </c>
      <c r="H64" s="4">
        <v>922</v>
      </c>
      <c r="I64" s="36" t="s">
        <v>20</v>
      </c>
      <c r="J64" s="4" t="s">
        <v>630</v>
      </c>
      <c r="K64" s="36">
        <v>124734</v>
      </c>
      <c r="L64" s="4"/>
      <c r="M64" s="4"/>
      <c r="N64" s="37" t="s">
        <v>609</v>
      </c>
      <c r="O64" s="37" t="s">
        <v>87</v>
      </c>
      <c r="Q64" s="7">
        <f>IF(D64="","",D64)</f>
        <v>922</v>
      </c>
      <c r="R64" s="7">
        <f>IF(H64="","",H64)</f>
        <v>922</v>
      </c>
      <c r="S64" s="31" t="str">
        <f>IF(R64="","",IF(N(R64)=0,"NÖTR",IF(Q64="","TEKRAR",IF(ROUND(Q64-R64,2)&gt;=0,"ONAYLANDI","TEKRAR"))))</f>
        <v>ONAYLANDI</v>
      </c>
      <c r="T64" s="8">
        <f>IF(OR(Q64="",R64=""),"",ROUND(Q64-R64,2))</f>
        <v>0</v>
      </c>
      <c r="U64" s="9"/>
    </row>
    <row r="65" spans="1:21" ht="30" x14ac:dyDescent="0.25">
      <c r="A65" s="4" t="s">
        <v>184</v>
      </c>
      <c r="B65" s="4" t="s">
        <v>185</v>
      </c>
      <c r="C65" s="5" t="s">
        <v>20</v>
      </c>
      <c r="D65" s="6">
        <v>3</v>
      </c>
      <c r="E65" s="4" t="s">
        <v>78</v>
      </c>
      <c r="F65" s="4" t="s">
        <v>186</v>
      </c>
      <c r="H65" s="4">
        <v>3</v>
      </c>
      <c r="I65" s="36" t="s">
        <v>20</v>
      </c>
      <c r="J65" s="4" t="s">
        <v>631</v>
      </c>
      <c r="K65" s="36">
        <v>124736</v>
      </c>
      <c r="L65" s="4"/>
      <c r="M65" s="4"/>
      <c r="N65" s="37" t="s">
        <v>609</v>
      </c>
      <c r="O65" s="37" t="s">
        <v>187</v>
      </c>
      <c r="Q65" s="7">
        <f>IF(D65="","",D65)</f>
        <v>3</v>
      </c>
      <c r="R65" s="7">
        <f>IF(H65="","",H65)</f>
        <v>3</v>
      </c>
      <c r="S65" s="31" t="str">
        <f>IF(R65="","",IF(N(R65)=0,"NÖTR",IF(Q65="","TEKRAR",IF(ROUND(Q65-R65,2)&gt;=0,"ONAYLANDI","TEKRAR"))))</f>
        <v>ONAYLANDI</v>
      </c>
      <c r="T65" s="8">
        <f>IF(OR(Q65="",R65=""),"",ROUND(Q65-R65,2))</f>
        <v>0</v>
      </c>
      <c r="U65" s="9"/>
    </row>
    <row r="66" spans="1:21" ht="30" x14ac:dyDescent="0.25">
      <c r="A66" s="4" t="s">
        <v>184</v>
      </c>
      <c r="B66" s="4" t="s">
        <v>185</v>
      </c>
      <c r="C66" s="5" t="s">
        <v>20</v>
      </c>
      <c r="D66" s="6">
        <v>316</v>
      </c>
      <c r="E66" s="4" t="s">
        <v>81</v>
      </c>
      <c r="F66" s="4" t="s">
        <v>186</v>
      </c>
      <c r="H66" s="4">
        <v>316</v>
      </c>
      <c r="I66" s="36" t="s">
        <v>83</v>
      </c>
      <c r="J66" s="4" t="s">
        <v>632</v>
      </c>
      <c r="K66" s="36">
        <v>124736</v>
      </c>
      <c r="L66" s="4"/>
      <c r="M66" s="4"/>
      <c r="N66" s="37" t="s">
        <v>609</v>
      </c>
      <c r="O66" s="37" t="s">
        <v>187</v>
      </c>
      <c r="Q66" s="7">
        <f>IF(D66="","",D66)</f>
        <v>316</v>
      </c>
      <c r="R66" s="7">
        <f>IF(H66="","",H66)</f>
        <v>316</v>
      </c>
      <c r="S66" s="31" t="str">
        <f>IF(R66="","",IF(N(R66)=0,"NÖTR",IF(Q66="","TEKRAR",IF(ROUND(Q66-R66,2)&gt;=0,"ONAYLANDI","TEKRAR"))))</f>
        <v>ONAYLANDI</v>
      </c>
      <c r="T66" s="8">
        <f>IF(OR(Q66="",R66=""),"",ROUND(Q66-R66,2))</f>
        <v>0</v>
      </c>
      <c r="U66" s="9"/>
    </row>
    <row r="67" spans="1:21" ht="30" x14ac:dyDescent="0.25">
      <c r="A67" s="4" t="s">
        <v>188</v>
      </c>
      <c r="B67" s="4" t="s">
        <v>189</v>
      </c>
      <c r="C67" s="5" t="s">
        <v>68</v>
      </c>
      <c r="D67" s="6">
        <v>16</v>
      </c>
      <c r="E67" s="4" t="s">
        <v>78</v>
      </c>
      <c r="F67" s="4" t="s">
        <v>129</v>
      </c>
      <c r="H67" s="4"/>
      <c r="I67" s="36"/>
      <c r="J67" s="4"/>
      <c r="K67" s="36"/>
      <c r="L67" s="4"/>
      <c r="M67" s="4"/>
      <c r="N67" s="37" t="s">
        <v>608</v>
      </c>
      <c r="O67" s="37"/>
      <c r="Q67" s="7">
        <f>IF(D67="","",D67)</f>
        <v>16</v>
      </c>
      <c r="R67" s="7" t="str">
        <f>IF(H67="","",H67)</f>
        <v/>
      </c>
      <c r="S67" s="31" t="str">
        <f>IF(R67="","",IF(N(R67)=0,"NÖTR",IF(Q67="","TEKRAR",IF(ROUND(Q67-R67,2)&gt;=0,"ONAYLANDI","TEKRAR"))))</f>
        <v/>
      </c>
      <c r="T67" s="8" t="str">
        <f>IF(OR(Q67="",R67=""),"",ROUND(Q67-R67,2))</f>
        <v/>
      </c>
      <c r="U67" s="9"/>
    </row>
    <row r="68" spans="1:21" ht="30" x14ac:dyDescent="0.25">
      <c r="A68" s="4" t="s">
        <v>190</v>
      </c>
      <c r="B68" s="4" t="s">
        <v>191</v>
      </c>
      <c r="C68" s="5" t="s">
        <v>20</v>
      </c>
      <c r="D68" s="6">
        <v>14</v>
      </c>
      <c r="E68" s="4" t="s">
        <v>78</v>
      </c>
      <c r="F68" s="4" t="s">
        <v>192</v>
      </c>
      <c r="H68" s="4">
        <v>14</v>
      </c>
      <c r="I68" s="36" t="s">
        <v>20</v>
      </c>
      <c r="J68" s="4" t="s">
        <v>633</v>
      </c>
      <c r="K68" s="36">
        <v>124742</v>
      </c>
      <c r="L68" s="4"/>
      <c r="M68" s="4"/>
      <c r="N68" s="37" t="s">
        <v>609</v>
      </c>
      <c r="O68" s="37" t="s">
        <v>192</v>
      </c>
      <c r="Q68" s="7">
        <f>IF(D68="","",D68)</f>
        <v>14</v>
      </c>
      <c r="R68" s="7">
        <f>IF(H68="","",H68)</f>
        <v>14</v>
      </c>
      <c r="S68" s="31" t="str">
        <f>IF(R68="","",IF(N(R68)=0,"NÖTR",IF(Q68="","TEKRAR",IF(ROUND(Q68-R68,2)&gt;=0,"ONAYLANDI","TEKRAR"))))</f>
        <v>ONAYLANDI</v>
      </c>
      <c r="T68" s="8">
        <f>IF(OR(Q68="",R68=""),"",ROUND(Q68-R68,2))</f>
        <v>0</v>
      </c>
      <c r="U68" s="9"/>
    </row>
    <row r="69" spans="1:21" ht="30" x14ac:dyDescent="0.25">
      <c r="A69" s="4" t="s">
        <v>193</v>
      </c>
      <c r="B69" s="4" t="s">
        <v>194</v>
      </c>
      <c r="C69" s="5" t="s">
        <v>20</v>
      </c>
      <c r="D69" s="6">
        <v>5</v>
      </c>
      <c r="E69" s="4" t="s">
        <v>78</v>
      </c>
      <c r="F69" s="4" t="s">
        <v>192</v>
      </c>
      <c r="H69" s="4">
        <v>5</v>
      </c>
      <c r="I69" s="36" t="s">
        <v>20</v>
      </c>
      <c r="J69" s="4" t="s">
        <v>634</v>
      </c>
      <c r="K69" s="36">
        <v>124758</v>
      </c>
      <c r="L69" s="4"/>
      <c r="M69" s="4"/>
      <c r="N69" s="37" t="s">
        <v>609</v>
      </c>
      <c r="O69" s="37" t="s">
        <v>192</v>
      </c>
      <c r="Q69" s="7">
        <f>IF(D69="","",D69)</f>
        <v>5</v>
      </c>
      <c r="R69" s="7">
        <f>IF(H69="","",H69)</f>
        <v>5</v>
      </c>
      <c r="S69" s="31" t="str">
        <f>IF(R69="","",IF(N(R69)=0,"NÖTR",IF(Q69="","TEKRAR",IF(ROUND(Q69-R69,2)&gt;=0,"ONAYLANDI","TEKRAR"))))</f>
        <v>ONAYLANDI</v>
      </c>
      <c r="T69" s="8">
        <f>IF(OR(Q69="",R69=""),"",ROUND(Q69-R69,2))</f>
        <v>0</v>
      </c>
      <c r="U69" s="9"/>
    </row>
    <row r="70" spans="1:21" ht="30" x14ac:dyDescent="0.25">
      <c r="A70" s="4" t="s">
        <v>195</v>
      </c>
      <c r="B70" s="4" t="s">
        <v>196</v>
      </c>
      <c r="C70" s="5" t="s">
        <v>20</v>
      </c>
      <c r="D70" s="6">
        <v>56</v>
      </c>
      <c r="E70" s="4" t="s">
        <v>78</v>
      </c>
      <c r="F70" s="4" t="s">
        <v>175</v>
      </c>
      <c r="H70" s="4">
        <v>56</v>
      </c>
      <c r="I70" s="36" t="s">
        <v>20</v>
      </c>
      <c r="J70" s="4" t="s">
        <v>635</v>
      </c>
      <c r="K70" s="36">
        <v>124768</v>
      </c>
      <c r="L70" s="4"/>
      <c r="M70" s="4"/>
      <c r="N70" s="37" t="s">
        <v>609</v>
      </c>
      <c r="O70" s="37" t="s">
        <v>99</v>
      </c>
      <c r="Q70" s="7">
        <f>IF(D70="","",D70)</f>
        <v>56</v>
      </c>
      <c r="R70" s="7">
        <f>IF(H70="","",H70)</f>
        <v>56</v>
      </c>
      <c r="S70" s="31" t="str">
        <f>IF(R70="","",IF(N(R70)=0,"NÖTR",IF(Q70="","TEKRAR",IF(ROUND(Q70-R70,2)&gt;=0,"ONAYLANDI","TEKRAR"))))</f>
        <v>ONAYLANDI</v>
      </c>
      <c r="T70" s="8">
        <f>IF(OR(Q70="",R70=""),"",ROUND(Q70-R70,2))</f>
        <v>0</v>
      </c>
      <c r="U70" s="9"/>
    </row>
    <row r="71" spans="1:21" ht="90" x14ac:dyDescent="0.25">
      <c r="A71" s="4" t="s">
        <v>197</v>
      </c>
      <c r="B71" s="4" t="s">
        <v>198</v>
      </c>
      <c r="C71" s="5" t="s">
        <v>68</v>
      </c>
      <c r="D71" s="6">
        <v>89</v>
      </c>
      <c r="E71" s="4" t="s">
        <v>62</v>
      </c>
      <c r="F71" s="4" t="s">
        <v>199</v>
      </c>
      <c r="H71" s="4"/>
      <c r="I71" s="36"/>
      <c r="J71" s="4"/>
      <c r="K71" s="36"/>
      <c r="L71" s="4"/>
      <c r="M71" s="4"/>
      <c r="N71" s="37" t="s">
        <v>608</v>
      </c>
      <c r="O71" s="37"/>
      <c r="Q71" s="7">
        <f>IF(D71="","",D71)</f>
        <v>89</v>
      </c>
      <c r="R71" s="7" t="str">
        <f>IF(H71="","",H71)</f>
        <v/>
      </c>
      <c r="S71" s="31" t="str">
        <f>IF(R71="","",IF(N(R71)=0,"NÖTR",IF(Q71="","TEKRAR",IF(ROUND(Q71-R71,2)&gt;=0,"ONAYLANDI","TEKRAR"))))</f>
        <v/>
      </c>
      <c r="T71" s="8" t="str">
        <f>IF(OR(Q71="",R71=""),"",ROUND(Q71-R71,2))</f>
        <v/>
      </c>
      <c r="U71" s="9"/>
    </row>
    <row r="72" spans="1:21" ht="45" x14ac:dyDescent="0.25">
      <c r="A72" s="4" t="s">
        <v>197</v>
      </c>
      <c r="B72" s="4" t="s">
        <v>198</v>
      </c>
      <c r="C72" s="5" t="s">
        <v>68</v>
      </c>
      <c r="D72" s="6">
        <v>6</v>
      </c>
      <c r="E72" s="4" t="s">
        <v>78</v>
      </c>
      <c r="F72" s="4" t="s">
        <v>129</v>
      </c>
      <c r="H72" s="4"/>
      <c r="I72" s="36"/>
      <c r="J72" s="4"/>
      <c r="K72" s="36"/>
      <c r="L72" s="4"/>
      <c r="M72" s="4"/>
      <c r="N72" s="37" t="s">
        <v>608</v>
      </c>
      <c r="O72" s="37"/>
      <c r="Q72" s="7">
        <f>IF(D72="","",D72)</f>
        <v>6</v>
      </c>
      <c r="R72" s="7" t="str">
        <f>IF(H72="","",H72)</f>
        <v/>
      </c>
      <c r="S72" s="31" t="str">
        <f>IF(R72="","",IF(N(R72)=0,"NÖTR",IF(Q72="","TEKRAR",IF(ROUND(Q72-R72,2)&gt;=0,"ONAYLANDI","TEKRAR"))))</f>
        <v/>
      </c>
      <c r="T72" s="8" t="str">
        <f>IF(OR(Q72="",R72=""),"",ROUND(Q72-R72,2))</f>
        <v/>
      </c>
      <c r="U72" s="9"/>
    </row>
    <row r="73" spans="1:21" ht="60" x14ac:dyDescent="0.25">
      <c r="A73" s="4" t="s">
        <v>200</v>
      </c>
      <c r="B73" s="4" t="s">
        <v>201</v>
      </c>
      <c r="C73" s="5" t="s">
        <v>68</v>
      </c>
      <c r="D73" s="6">
        <v>30</v>
      </c>
      <c r="E73" s="4" t="s">
        <v>62</v>
      </c>
      <c r="F73" s="4" t="s">
        <v>202</v>
      </c>
      <c r="H73" s="4"/>
      <c r="I73" s="36"/>
      <c r="J73" s="4"/>
      <c r="K73" s="36"/>
      <c r="L73" s="4"/>
      <c r="M73" s="4"/>
      <c r="N73" s="37" t="s">
        <v>608</v>
      </c>
      <c r="O73" s="37"/>
      <c r="Q73" s="7">
        <f>IF(D73="","",D73)</f>
        <v>30</v>
      </c>
      <c r="R73" s="7" t="str">
        <f>IF(H73="","",H73)</f>
        <v/>
      </c>
      <c r="S73" s="31" t="str">
        <f>IF(R73="","",IF(N(R73)=0,"NÖTR",IF(Q73="","TEKRAR",IF(ROUND(Q73-R73,2)&gt;=0,"ONAYLANDI","TEKRAR"))))</f>
        <v/>
      </c>
      <c r="T73" s="8" t="str">
        <f>IF(OR(Q73="",R73=""),"",ROUND(Q73-R73,2))</f>
        <v/>
      </c>
      <c r="U73" s="9"/>
    </row>
    <row r="74" spans="1:21" ht="45" x14ac:dyDescent="0.25">
      <c r="A74" s="4" t="s">
        <v>203</v>
      </c>
      <c r="B74" s="4" t="s">
        <v>204</v>
      </c>
      <c r="C74" s="5" t="s">
        <v>20</v>
      </c>
      <c r="D74" s="6">
        <v>29</v>
      </c>
      <c r="E74" s="4" t="s">
        <v>78</v>
      </c>
      <c r="F74" s="4" t="s">
        <v>95</v>
      </c>
      <c r="H74" s="4">
        <v>29</v>
      </c>
      <c r="I74" s="36" t="s">
        <v>20</v>
      </c>
      <c r="J74" s="4" t="s">
        <v>636</v>
      </c>
      <c r="K74" s="36">
        <v>126016</v>
      </c>
      <c r="L74" s="4"/>
      <c r="M74" s="4"/>
      <c r="N74" s="37" t="s">
        <v>609</v>
      </c>
      <c r="O74" s="37">
        <v>4032026</v>
      </c>
      <c r="Q74" s="7">
        <f>IF(D74="","",D74)</f>
        <v>29</v>
      </c>
      <c r="R74" s="7">
        <f>IF(H74="","",H74)</f>
        <v>29</v>
      </c>
      <c r="S74" s="31" t="str">
        <f>IF(R74="","",IF(N(R74)=0,"NÖTR",IF(Q74="","TEKRAR",IF(ROUND(Q74-R74,2)&gt;=0,"ONAYLANDI","TEKRAR"))))</f>
        <v>ONAYLANDI</v>
      </c>
      <c r="T74" s="8">
        <f>IF(OR(Q74="",R74=""),"",ROUND(Q74-R74,2))</f>
        <v>0</v>
      </c>
      <c r="U74" s="9"/>
    </row>
    <row r="75" spans="1:21" ht="45" x14ac:dyDescent="0.25">
      <c r="A75" s="4" t="s">
        <v>205</v>
      </c>
      <c r="B75" s="4" t="s">
        <v>206</v>
      </c>
      <c r="C75" s="5" t="s">
        <v>20</v>
      </c>
      <c r="D75" s="6">
        <v>160</v>
      </c>
      <c r="E75" s="4" t="s">
        <v>78</v>
      </c>
      <c r="F75" s="4" t="s">
        <v>175</v>
      </c>
      <c r="H75" s="4">
        <v>160</v>
      </c>
      <c r="I75" s="36" t="s">
        <v>20</v>
      </c>
      <c r="J75" s="4" t="s">
        <v>637</v>
      </c>
      <c r="K75" s="36">
        <v>126018</v>
      </c>
      <c r="L75" s="4"/>
      <c r="M75" s="4"/>
      <c r="N75" s="37" t="s">
        <v>609</v>
      </c>
      <c r="O75" s="37" t="s">
        <v>99</v>
      </c>
      <c r="Q75" s="7">
        <f>IF(D75="","",D75)</f>
        <v>160</v>
      </c>
      <c r="R75" s="7">
        <f>IF(H75="","",H75)</f>
        <v>160</v>
      </c>
      <c r="S75" s="31" t="str">
        <f>IF(R75="","",IF(N(R75)=0,"NÖTR",IF(Q75="","TEKRAR",IF(ROUND(Q75-R75,2)&gt;=0,"ONAYLANDI","TEKRAR"))))</f>
        <v>ONAYLANDI</v>
      </c>
      <c r="T75" s="8">
        <f>IF(OR(Q75="",R75=""),"",ROUND(Q75-R75,2))</f>
        <v>0</v>
      </c>
      <c r="U75" s="9"/>
    </row>
    <row r="76" spans="1:21" ht="45" x14ac:dyDescent="0.25">
      <c r="A76" s="4" t="s">
        <v>207</v>
      </c>
      <c r="B76" s="4" t="s">
        <v>208</v>
      </c>
      <c r="C76" s="5" t="s">
        <v>57</v>
      </c>
      <c r="D76" s="6">
        <v>200</v>
      </c>
      <c r="E76" s="4" t="s">
        <v>209</v>
      </c>
      <c r="F76" s="4" t="s">
        <v>210</v>
      </c>
      <c r="H76" s="35">
        <v>200</v>
      </c>
      <c r="I76" s="36" t="s">
        <v>57</v>
      </c>
      <c r="J76" s="4" t="s">
        <v>207</v>
      </c>
      <c r="K76" s="36">
        <v>371581</v>
      </c>
      <c r="L76" s="4"/>
      <c r="M76" s="4" t="s">
        <v>209</v>
      </c>
      <c r="N76" s="37" t="s">
        <v>154</v>
      </c>
      <c r="O76" s="37"/>
      <c r="Q76" s="7">
        <f>IF(D76="","",D76)</f>
        <v>200</v>
      </c>
      <c r="R76" s="7">
        <f>IF(H76="","",H76)</f>
        <v>200</v>
      </c>
      <c r="S76" s="31" t="str">
        <f>IF(R76="","",IF(N(R76)=0,"NÖTR",IF(Q76="","TEKRAR",IF(ROUND(Q76-R76,2)&gt;=0,"ONAYLANDI","TEKRAR"))))</f>
        <v>ONAYLANDI</v>
      </c>
      <c r="T76" s="8">
        <f>IF(OR(Q76="",R76=""),"",ROUND(Q76-R76,2))</f>
        <v>0</v>
      </c>
      <c r="U76" s="9"/>
    </row>
    <row r="77" spans="1:21" ht="45" x14ac:dyDescent="0.25">
      <c r="A77" s="4" t="s">
        <v>207</v>
      </c>
      <c r="B77" s="4" t="s">
        <v>208</v>
      </c>
      <c r="C77" s="5" t="s">
        <v>57</v>
      </c>
      <c r="D77" s="6">
        <v>7303</v>
      </c>
      <c r="E77" s="4" t="s">
        <v>21</v>
      </c>
      <c r="F77" s="4" t="s">
        <v>211</v>
      </c>
      <c r="H77" s="35">
        <v>7303</v>
      </c>
      <c r="I77" s="36" t="s">
        <v>57</v>
      </c>
      <c r="J77" s="4" t="s">
        <v>207</v>
      </c>
      <c r="K77" s="36">
        <v>371581</v>
      </c>
      <c r="L77" s="4"/>
      <c r="M77" s="4" t="s">
        <v>21</v>
      </c>
      <c r="N77" s="37" t="s">
        <v>154</v>
      </c>
      <c r="O77" s="37"/>
      <c r="Q77" s="7">
        <f>IF(D77="","",D77)</f>
        <v>7303</v>
      </c>
      <c r="R77" s="7">
        <f>IF(H77="","",H77)</f>
        <v>7303</v>
      </c>
      <c r="S77" s="31" t="str">
        <f>IF(R77="","",IF(N(R77)=0,"NÖTR",IF(Q77="","TEKRAR",IF(ROUND(Q77-R77,2)&gt;=0,"ONAYLANDI","TEKRAR"))))</f>
        <v>ONAYLANDI</v>
      </c>
      <c r="T77" s="8">
        <f>IF(OR(Q77="",R77=""),"",ROUND(Q77-R77,2))</f>
        <v>0</v>
      </c>
      <c r="U77" s="9"/>
    </row>
    <row r="78" spans="1:21" ht="30" x14ac:dyDescent="0.25">
      <c r="A78" s="4" t="s">
        <v>212</v>
      </c>
      <c r="B78" s="4" t="s">
        <v>213</v>
      </c>
      <c r="C78" s="5" t="s">
        <v>57</v>
      </c>
      <c r="D78" s="6">
        <v>240</v>
      </c>
      <c r="E78" s="4" t="s">
        <v>58</v>
      </c>
      <c r="F78" s="4" t="s">
        <v>214</v>
      </c>
      <c r="H78" s="35">
        <v>240</v>
      </c>
      <c r="I78" s="36" t="s">
        <v>57</v>
      </c>
      <c r="J78" s="4" t="s">
        <v>212</v>
      </c>
      <c r="K78" s="36">
        <v>2004127</v>
      </c>
      <c r="L78" s="4"/>
      <c r="M78" s="4" t="s">
        <v>58</v>
      </c>
      <c r="N78" s="37" t="s">
        <v>92</v>
      </c>
      <c r="O78" s="37"/>
      <c r="Q78" s="7">
        <f>IF(D78="","",D78)</f>
        <v>240</v>
      </c>
      <c r="R78" s="7">
        <f>IF(H78="","",H78)</f>
        <v>240</v>
      </c>
      <c r="S78" s="31" t="str">
        <f>IF(R78="","",IF(N(R78)=0,"NÖTR",IF(Q78="","TEKRAR",IF(ROUND(Q78-R78,2)&gt;=0,"ONAYLANDI","TEKRAR"))))</f>
        <v>ONAYLANDI</v>
      </c>
      <c r="T78" s="8">
        <f>IF(OR(Q78="",R78=""),"",ROUND(Q78-R78,2))</f>
        <v>0</v>
      </c>
      <c r="U78" s="9"/>
    </row>
    <row r="79" spans="1:21" ht="30" x14ac:dyDescent="0.25">
      <c r="A79" s="4" t="s">
        <v>215</v>
      </c>
      <c r="B79" s="4" t="s">
        <v>216</v>
      </c>
      <c r="C79" s="5" t="s">
        <v>57</v>
      </c>
      <c r="D79" s="6">
        <v>3100</v>
      </c>
      <c r="E79" s="4" t="s">
        <v>58</v>
      </c>
      <c r="F79" s="4" t="s">
        <v>214</v>
      </c>
      <c r="H79" s="35">
        <v>3100</v>
      </c>
      <c r="I79" s="36" t="s">
        <v>57</v>
      </c>
      <c r="J79" s="4" t="s">
        <v>215</v>
      </c>
      <c r="K79" s="36">
        <v>2036086</v>
      </c>
      <c r="L79" s="4"/>
      <c r="M79" s="4" t="s">
        <v>58</v>
      </c>
      <c r="N79" s="37" t="s">
        <v>39</v>
      </c>
      <c r="O79" s="37"/>
      <c r="Q79" s="7">
        <f>IF(D79="","",D79)</f>
        <v>3100</v>
      </c>
      <c r="R79" s="7">
        <f>IF(H79="","",H79)</f>
        <v>3100</v>
      </c>
      <c r="S79" s="31" t="str">
        <f>IF(R79="","",IF(N(R79)=0,"NÖTR",IF(Q79="","TEKRAR",IF(ROUND(Q79-R79,2)&gt;=0,"ONAYLANDI","TEKRAR"))))</f>
        <v>ONAYLANDI</v>
      </c>
      <c r="T79" s="8">
        <f>IF(OR(Q79="",R79=""),"",ROUND(Q79-R79,2))</f>
        <v>0</v>
      </c>
      <c r="U79" s="9"/>
    </row>
    <row r="80" spans="1:21" ht="45" x14ac:dyDescent="0.25">
      <c r="A80" s="4" t="s">
        <v>217</v>
      </c>
      <c r="B80" s="4" t="s">
        <v>218</v>
      </c>
      <c r="C80" s="5" t="s">
        <v>20</v>
      </c>
      <c r="D80" s="6">
        <v>25</v>
      </c>
      <c r="E80" s="4" t="s">
        <v>78</v>
      </c>
      <c r="F80" s="4" t="s">
        <v>219</v>
      </c>
      <c r="H80" s="38">
        <f>20+5</f>
        <v>25</v>
      </c>
      <c r="I80" s="39" t="s">
        <v>20</v>
      </c>
      <c r="J80" s="13" t="s">
        <v>217</v>
      </c>
      <c r="K80" s="39">
        <v>2095982</v>
      </c>
      <c r="L80" s="13"/>
      <c r="M80" s="13" t="s">
        <v>78</v>
      </c>
      <c r="N80" s="40" t="s">
        <v>54</v>
      </c>
      <c r="O80" s="40"/>
      <c r="Q80" s="7">
        <f>IF(D80="","",D80)</f>
        <v>25</v>
      </c>
      <c r="R80" s="7">
        <f>IF(H80="","",H80)</f>
        <v>25</v>
      </c>
      <c r="S80" s="31" t="str">
        <f>IF(R80="","",IF(N(R80)=0,"NÖTR",IF(Q80="","TEKRAR",IF(ROUND(Q80-R80,2)&gt;=0,"ONAYLANDI","TEKRAR"))))</f>
        <v>ONAYLANDI</v>
      </c>
      <c r="T80" s="8">
        <f>IF(OR(Q80="",R80=""),"",ROUND(Q80-R80,2))</f>
        <v>0</v>
      </c>
      <c r="U80" s="9"/>
    </row>
    <row r="81" spans="1:21" ht="30" x14ac:dyDescent="0.25">
      <c r="A81" s="4" t="s">
        <v>220</v>
      </c>
      <c r="B81" s="4" t="s">
        <v>221</v>
      </c>
      <c r="C81" s="5" t="s">
        <v>20</v>
      </c>
      <c r="D81" s="6">
        <v>2427</v>
      </c>
      <c r="E81" s="4" t="s">
        <v>78</v>
      </c>
      <c r="F81" s="4" t="s">
        <v>222</v>
      </c>
      <c r="H81" s="35">
        <v>2427</v>
      </c>
      <c r="I81" s="36" t="s">
        <v>20</v>
      </c>
      <c r="J81" s="4" t="s">
        <v>220</v>
      </c>
      <c r="K81" s="36">
        <v>2105712</v>
      </c>
      <c r="L81" s="4"/>
      <c r="M81" s="4" t="s">
        <v>78</v>
      </c>
      <c r="N81" s="37" t="s">
        <v>154</v>
      </c>
      <c r="O81" s="37"/>
      <c r="Q81" s="7">
        <f>IF(D81="","",D81)</f>
        <v>2427</v>
      </c>
      <c r="R81" s="7">
        <f>IF(H81="","",H81)</f>
        <v>2427</v>
      </c>
      <c r="S81" s="31" t="str">
        <f>IF(R81="","",IF(N(R81)=0,"NÖTR",IF(Q81="","TEKRAR",IF(ROUND(Q81-R81,2)&gt;=0,"ONAYLANDI","TEKRAR"))))</f>
        <v>ONAYLANDI</v>
      </c>
      <c r="T81" s="8">
        <f>IF(OR(Q81="",R81=""),"",ROUND(Q81-R81,2))</f>
        <v>0</v>
      </c>
      <c r="U81" s="9"/>
    </row>
    <row r="82" spans="1:21" ht="45" x14ac:dyDescent="0.25">
      <c r="A82" s="4" t="s">
        <v>223</v>
      </c>
      <c r="B82" s="4" t="s">
        <v>224</v>
      </c>
      <c r="C82" s="5" t="s">
        <v>20</v>
      </c>
      <c r="D82" s="6">
        <v>2000</v>
      </c>
      <c r="E82" s="4" t="s">
        <v>78</v>
      </c>
      <c r="F82" s="4" t="s">
        <v>225</v>
      </c>
      <c r="H82" s="35">
        <v>2000</v>
      </c>
      <c r="I82" s="36" t="s">
        <v>20</v>
      </c>
      <c r="J82" s="4" t="s">
        <v>223</v>
      </c>
      <c r="K82" s="36">
        <v>2223707</v>
      </c>
      <c r="L82" s="4"/>
      <c r="M82" s="4" t="s">
        <v>78</v>
      </c>
      <c r="N82" s="37" t="s">
        <v>226</v>
      </c>
      <c r="O82" s="37"/>
      <c r="Q82" s="7">
        <f>IF(D82="","",D82)</f>
        <v>2000</v>
      </c>
      <c r="R82" s="7">
        <f>IF(H82="","",H82)</f>
        <v>2000</v>
      </c>
      <c r="S82" s="31" t="str">
        <f>IF(R82="","",IF(N(R82)=0,"NÖTR",IF(Q82="","TEKRAR",IF(ROUND(Q82-R82,2)&gt;=0,"ONAYLANDI","TEKRAR"))))</f>
        <v>ONAYLANDI</v>
      </c>
      <c r="T82" s="8">
        <f>IF(OR(Q82="",R82=""),"",ROUND(Q82-R82,2))</f>
        <v>0</v>
      </c>
      <c r="U82" s="9"/>
    </row>
    <row r="83" spans="1:21" ht="120" x14ac:dyDescent="0.25">
      <c r="A83" s="4" t="s">
        <v>227</v>
      </c>
      <c r="B83" s="4" t="s">
        <v>228</v>
      </c>
      <c r="C83" s="5" t="s">
        <v>20</v>
      </c>
      <c r="D83" s="6">
        <v>2526</v>
      </c>
      <c r="E83" s="4" t="s">
        <v>62</v>
      </c>
      <c r="F83" s="4" t="s">
        <v>229</v>
      </c>
      <c r="H83" s="4"/>
      <c r="I83" s="36"/>
      <c r="J83" s="4"/>
      <c r="K83" s="36"/>
      <c r="L83" s="4"/>
      <c r="M83" s="4"/>
      <c r="N83" s="37" t="s">
        <v>608</v>
      </c>
      <c r="O83" s="37"/>
      <c r="Q83" s="7">
        <f>IF(D83="","",D83)</f>
        <v>2526</v>
      </c>
      <c r="R83" s="7" t="str">
        <f>IF(H83="","",H83)</f>
        <v/>
      </c>
      <c r="S83" s="31" t="str">
        <f>IF(R83="","",IF(N(R83)=0,"NÖTR",IF(Q83="","TEKRAR",IF(ROUND(Q83-R83,2)&gt;=0,"ONAYLANDI","TEKRAR"))))</f>
        <v/>
      </c>
      <c r="T83" s="8" t="str">
        <f>IF(OR(Q83="",R83=""),"",ROUND(Q83-R83,2))</f>
        <v/>
      </c>
      <c r="U83" s="9"/>
    </row>
    <row r="84" spans="1:21" ht="135" x14ac:dyDescent="0.25">
      <c r="A84" s="4" t="s">
        <v>227</v>
      </c>
      <c r="B84" s="4" t="s">
        <v>228</v>
      </c>
      <c r="C84" s="5" t="s">
        <v>20</v>
      </c>
      <c r="D84" s="6">
        <v>2580</v>
      </c>
      <c r="E84" s="4" t="s">
        <v>78</v>
      </c>
      <c r="F84" s="4" t="s">
        <v>597</v>
      </c>
      <c r="H84" s="35">
        <v>2580</v>
      </c>
      <c r="I84" s="36" t="s">
        <v>20</v>
      </c>
      <c r="J84" s="4" t="s">
        <v>231</v>
      </c>
      <c r="K84" s="36">
        <v>2237435</v>
      </c>
      <c r="L84" s="4"/>
      <c r="M84" s="4" t="s">
        <v>78</v>
      </c>
      <c r="N84" s="37" t="s">
        <v>92</v>
      </c>
      <c r="O84" s="37"/>
      <c r="Q84" s="7">
        <f>IF(D84="","",D84)</f>
        <v>2580</v>
      </c>
      <c r="R84" s="7">
        <f>IF(H84="","",H84)</f>
        <v>2580</v>
      </c>
      <c r="S84" s="31" t="str">
        <f>IF(R84="","",IF(N(R84)=0,"NÖTR",IF(Q84="","TEKRAR",IF(ROUND(Q84-R84,2)&gt;=0,"ONAYLANDI","TEKRAR"))))</f>
        <v>ONAYLANDI</v>
      </c>
      <c r="T84" s="8">
        <f>IF(OR(Q84="",R84=""),"",ROUND(Q84-R84,2))</f>
        <v>0</v>
      </c>
      <c r="U84" s="9" t="s">
        <v>232</v>
      </c>
    </row>
    <row r="85" spans="1:21" ht="45" x14ac:dyDescent="0.25">
      <c r="A85" s="4" t="s">
        <v>233</v>
      </c>
      <c r="B85" s="4" t="s">
        <v>234</v>
      </c>
      <c r="C85" s="5" t="s">
        <v>20</v>
      </c>
      <c r="D85" s="6">
        <v>197</v>
      </c>
      <c r="E85" s="4" t="s">
        <v>78</v>
      </c>
      <c r="F85" s="4" t="s">
        <v>235</v>
      </c>
      <c r="H85" s="4">
        <v>197</v>
      </c>
      <c r="I85" s="36" t="s">
        <v>20</v>
      </c>
      <c r="J85" s="4" t="s">
        <v>638</v>
      </c>
      <c r="K85" s="36">
        <v>4002020</v>
      </c>
      <c r="L85" s="4"/>
      <c r="M85" s="4"/>
      <c r="N85" s="37" t="s">
        <v>609</v>
      </c>
      <c r="O85" s="37" t="s">
        <v>118</v>
      </c>
      <c r="Q85" s="7">
        <f>IF(D85="","",D85)</f>
        <v>197</v>
      </c>
      <c r="R85" s="7">
        <f>IF(H85="","",H85)</f>
        <v>197</v>
      </c>
      <c r="S85" s="31" t="str">
        <f>IF(R85="","",IF(N(R85)=0,"NÖTR",IF(Q85="","TEKRAR",IF(ROUND(Q85-R85,2)&gt;=0,"ONAYLANDI","TEKRAR"))))</f>
        <v>ONAYLANDI</v>
      </c>
      <c r="T85" s="8">
        <f>IF(OR(Q85="",R85=""),"",ROUND(Q85-R85,2))</f>
        <v>0</v>
      </c>
      <c r="U85" s="9"/>
    </row>
    <row r="86" spans="1:21" ht="45" x14ac:dyDescent="0.25">
      <c r="A86" s="4" t="s">
        <v>236</v>
      </c>
      <c r="B86" s="4" t="s">
        <v>237</v>
      </c>
      <c r="C86" s="5" t="s">
        <v>20</v>
      </c>
      <c r="D86" s="6">
        <v>224</v>
      </c>
      <c r="E86" s="4" t="s">
        <v>78</v>
      </c>
      <c r="F86" s="4" t="s">
        <v>235</v>
      </c>
      <c r="H86" s="4">
        <v>208</v>
      </c>
      <c r="I86" s="36" t="s">
        <v>20</v>
      </c>
      <c r="J86" s="4" t="s">
        <v>639</v>
      </c>
      <c r="K86" s="36">
        <v>4002021</v>
      </c>
      <c r="L86" s="4"/>
      <c r="M86" s="4"/>
      <c r="N86" s="37" t="s">
        <v>609</v>
      </c>
      <c r="O86" s="37" t="s">
        <v>118</v>
      </c>
      <c r="Q86" s="7">
        <f>IF(D86="","",D86)</f>
        <v>224</v>
      </c>
      <c r="R86" s="7">
        <f>IF(H86="","",H86)</f>
        <v>208</v>
      </c>
      <c r="S86" s="31" t="str">
        <f>IF(R86="","",IF(N(R86)=0,"NÖTR",IF(Q86="","TEKRAR",IF(ROUND(Q86-R86,2)&gt;=0,"ONAYLANDI","TEKRAR"))))</f>
        <v>ONAYLANDI</v>
      </c>
      <c r="T86" s="8">
        <f>IF(OR(Q86="",R86=""),"",ROUND(Q86-R86,2))</f>
        <v>16</v>
      </c>
      <c r="U86" s="9"/>
    </row>
    <row r="87" spans="1:21" ht="30" x14ac:dyDescent="0.25">
      <c r="A87" s="4" t="s">
        <v>238</v>
      </c>
      <c r="B87" s="4" t="s">
        <v>239</v>
      </c>
      <c r="C87" s="5" t="s">
        <v>68</v>
      </c>
      <c r="D87" s="6">
        <v>4</v>
      </c>
      <c r="E87" s="4" t="s">
        <v>78</v>
      </c>
      <c r="F87" s="4" t="s">
        <v>129</v>
      </c>
      <c r="H87" s="4"/>
      <c r="I87" s="36"/>
      <c r="J87" s="4"/>
      <c r="K87" s="36"/>
      <c r="L87" s="4"/>
      <c r="M87" s="4"/>
      <c r="N87" s="37" t="s">
        <v>608</v>
      </c>
      <c r="O87" s="37"/>
      <c r="Q87" s="7">
        <f>IF(D87="","",D87)</f>
        <v>4</v>
      </c>
      <c r="R87" s="7" t="str">
        <f>IF(H87="","",H87)</f>
        <v/>
      </c>
      <c r="S87" s="31" t="str">
        <f>IF(R87="","",IF(N(R87)=0,"NÖTR",IF(Q87="","TEKRAR",IF(ROUND(Q87-R87,2)&gt;=0,"ONAYLANDI","TEKRAR"))))</f>
        <v/>
      </c>
      <c r="T87" s="8" t="str">
        <f>IF(OR(Q87="",R87=""),"",ROUND(Q87-R87,2))</f>
        <v/>
      </c>
      <c r="U87" s="9"/>
    </row>
    <row r="88" spans="1:21" ht="30" x14ac:dyDescent="0.25">
      <c r="A88" s="4" t="s">
        <v>240</v>
      </c>
      <c r="B88" s="4" t="s">
        <v>241</v>
      </c>
      <c r="C88" s="5" t="s">
        <v>68</v>
      </c>
      <c r="D88" s="6">
        <v>22</v>
      </c>
      <c r="E88" s="4" t="s">
        <v>81</v>
      </c>
      <c r="F88" s="4" t="s">
        <v>129</v>
      </c>
      <c r="H88" s="4"/>
      <c r="I88" s="36"/>
      <c r="J88" s="4"/>
      <c r="K88" s="36"/>
      <c r="L88" s="4"/>
      <c r="M88" s="4"/>
      <c r="N88" s="37" t="s">
        <v>608</v>
      </c>
      <c r="O88" s="37"/>
      <c r="Q88" s="7">
        <f>IF(D88="","",D88)</f>
        <v>22</v>
      </c>
      <c r="R88" s="7" t="str">
        <f>IF(H88="","",H88)</f>
        <v/>
      </c>
      <c r="S88" s="31" t="str">
        <f>IF(R88="","",IF(N(R88)=0,"NÖTR",IF(Q88="","TEKRAR",IF(ROUND(Q88-R88,2)&gt;=0,"ONAYLANDI","TEKRAR"))))</f>
        <v/>
      </c>
      <c r="T88" s="8" t="str">
        <f>IF(OR(Q88="",R88=""),"",ROUND(Q88-R88,2))</f>
        <v/>
      </c>
      <c r="U88" s="9"/>
    </row>
    <row r="89" spans="1:21" ht="105" x14ac:dyDescent="0.25">
      <c r="A89" s="4" t="s">
        <v>242</v>
      </c>
      <c r="B89" s="4" t="s">
        <v>243</v>
      </c>
      <c r="C89" s="5" t="s">
        <v>68</v>
      </c>
      <c r="D89" s="6">
        <v>476</v>
      </c>
      <c r="E89" s="4" t="s">
        <v>62</v>
      </c>
      <c r="F89" s="4" t="s">
        <v>69</v>
      </c>
      <c r="H89" s="35">
        <v>476</v>
      </c>
      <c r="I89" s="36" t="s">
        <v>68</v>
      </c>
      <c r="J89" s="4" t="s">
        <v>242</v>
      </c>
      <c r="K89" s="36">
        <v>4021018</v>
      </c>
      <c r="L89" s="4"/>
      <c r="M89" s="4" t="s">
        <v>62</v>
      </c>
      <c r="N89" s="37" t="s">
        <v>92</v>
      </c>
      <c r="O89" s="37"/>
      <c r="Q89" s="7">
        <f>IF(D89="","",D89)</f>
        <v>476</v>
      </c>
      <c r="R89" s="7">
        <f>IF(H89="","",H89)</f>
        <v>476</v>
      </c>
      <c r="S89" s="31" t="str">
        <f>IF(R89="","",IF(N(R89)=0,"NÖTR",IF(Q89="","TEKRAR",IF(ROUND(Q89-R89,2)&gt;=0,"ONAYLANDI","TEKRAR"))))</f>
        <v>ONAYLANDI</v>
      </c>
      <c r="T89" s="8">
        <f>IF(OR(Q89="",R89=""),"",ROUND(Q89-R89,2))</f>
        <v>0</v>
      </c>
      <c r="U89" s="9"/>
    </row>
    <row r="90" spans="1:21" ht="30" x14ac:dyDescent="0.25">
      <c r="A90" s="4" t="s">
        <v>244</v>
      </c>
      <c r="B90" s="4" t="s">
        <v>245</v>
      </c>
      <c r="C90" s="5" t="s">
        <v>68</v>
      </c>
      <c r="D90" s="6">
        <v>2</v>
      </c>
      <c r="E90" s="4" t="s">
        <v>78</v>
      </c>
      <c r="F90" s="4" t="s">
        <v>129</v>
      </c>
      <c r="H90" s="4"/>
      <c r="I90" s="36"/>
      <c r="J90" s="4"/>
      <c r="K90" s="36"/>
      <c r="L90" s="4"/>
      <c r="M90" s="4"/>
      <c r="N90" s="37" t="s">
        <v>608</v>
      </c>
      <c r="O90" s="37"/>
      <c r="Q90" s="7">
        <f>IF(D90="","",D90)</f>
        <v>2</v>
      </c>
      <c r="R90" s="7" t="str">
        <f>IF(H90="","",H90)</f>
        <v/>
      </c>
      <c r="S90" s="31" t="str">
        <f>IF(R90="","",IF(N(R90)=0,"NÖTR",IF(Q90="","TEKRAR",IF(ROUND(Q90-R90,2)&gt;=0,"ONAYLANDI","TEKRAR"))))</f>
        <v/>
      </c>
      <c r="T90" s="8" t="str">
        <f>IF(OR(Q90="",R90=""),"",ROUND(Q90-R90,2))</f>
        <v/>
      </c>
      <c r="U90" s="9"/>
    </row>
    <row r="91" spans="1:21" ht="30" x14ac:dyDescent="0.25">
      <c r="A91" s="4" t="s">
        <v>246</v>
      </c>
      <c r="B91" s="4" t="s">
        <v>247</v>
      </c>
      <c r="C91" s="5" t="s">
        <v>20</v>
      </c>
      <c r="D91" s="6">
        <v>60</v>
      </c>
      <c r="E91" s="4" t="s">
        <v>62</v>
      </c>
      <c r="F91" s="4" t="s">
        <v>248</v>
      </c>
      <c r="H91" s="4"/>
      <c r="I91" s="36"/>
      <c r="J91" s="4"/>
      <c r="K91" s="36"/>
      <c r="L91" s="4"/>
      <c r="M91" s="4"/>
      <c r="N91" s="37" t="s">
        <v>608</v>
      </c>
      <c r="O91" s="37"/>
      <c r="Q91" s="7">
        <f>IF(D91="","",D91)</f>
        <v>60</v>
      </c>
      <c r="R91" s="7" t="str">
        <f>IF(H91="","",H91)</f>
        <v/>
      </c>
      <c r="S91" s="31" t="str">
        <f>IF(R91="","",IF(N(R91)=0,"NÖTR",IF(Q91="","TEKRAR",IF(ROUND(Q91-R91,2)&gt;=0,"ONAYLANDI","TEKRAR"))))</f>
        <v/>
      </c>
      <c r="T91" s="8" t="str">
        <f>IF(OR(Q91="",R91=""),"",ROUND(Q91-R91,2))</f>
        <v/>
      </c>
      <c r="U91" s="9"/>
    </row>
    <row r="92" spans="1:21" ht="30" x14ac:dyDescent="0.25">
      <c r="A92" s="4" t="s">
        <v>249</v>
      </c>
      <c r="B92" s="4" t="s">
        <v>250</v>
      </c>
      <c r="C92" s="5" t="s">
        <v>20</v>
      </c>
      <c r="D92" s="6">
        <v>2</v>
      </c>
      <c r="E92" s="4" t="s">
        <v>62</v>
      </c>
      <c r="F92" s="4" t="s">
        <v>63</v>
      </c>
      <c r="H92" s="4"/>
      <c r="I92" s="36"/>
      <c r="J92" s="4"/>
      <c r="K92" s="36"/>
      <c r="L92" s="4"/>
      <c r="M92" s="4"/>
      <c r="N92" s="37" t="s">
        <v>608</v>
      </c>
      <c r="O92" s="37"/>
      <c r="Q92" s="7">
        <f>IF(D92="","",D92)</f>
        <v>2</v>
      </c>
      <c r="R92" s="7" t="str">
        <f>IF(H92="","",H92)</f>
        <v/>
      </c>
      <c r="S92" s="31" t="str">
        <f>IF(R92="","",IF(N(R92)=0,"NÖTR",IF(Q92="","TEKRAR",IF(ROUND(Q92-R92,2)&gt;=0,"ONAYLANDI","TEKRAR"))))</f>
        <v/>
      </c>
      <c r="T92" s="8" t="str">
        <f>IF(OR(Q92="",R92=""),"",ROUND(Q92-R92,2))</f>
        <v/>
      </c>
      <c r="U92" s="9"/>
    </row>
    <row r="93" spans="1:21" ht="45" x14ac:dyDescent="0.25">
      <c r="A93" s="4" t="s">
        <v>251</v>
      </c>
      <c r="B93" s="4" t="s">
        <v>252</v>
      </c>
      <c r="C93" s="5" t="s">
        <v>20</v>
      </c>
      <c r="D93" s="6">
        <v>250</v>
      </c>
      <c r="E93" s="4" t="s">
        <v>78</v>
      </c>
      <c r="F93" s="4" t="s">
        <v>235</v>
      </c>
      <c r="H93" s="4">
        <v>250</v>
      </c>
      <c r="I93" s="36" t="s">
        <v>20</v>
      </c>
      <c r="J93" s="4" t="s">
        <v>640</v>
      </c>
      <c r="K93" s="36">
        <v>4021070</v>
      </c>
      <c r="L93" s="4"/>
      <c r="M93" s="4"/>
      <c r="N93" s="37" t="s">
        <v>609</v>
      </c>
      <c r="O93" s="37" t="s">
        <v>118</v>
      </c>
      <c r="Q93" s="7">
        <f>IF(D93="","",D93)</f>
        <v>250</v>
      </c>
      <c r="R93" s="7">
        <f>IF(H93="","",H93)</f>
        <v>250</v>
      </c>
      <c r="S93" s="31" t="str">
        <f>IF(R93="","",IF(N(R93)=0,"NÖTR",IF(Q93="","TEKRAR",IF(ROUND(Q93-R93,2)&gt;=0,"ONAYLANDI","TEKRAR"))))</f>
        <v>ONAYLANDI</v>
      </c>
      <c r="T93" s="8">
        <f>IF(OR(Q93="",R93=""),"",ROUND(Q93-R93,2))</f>
        <v>0</v>
      </c>
      <c r="U93" s="9"/>
    </row>
    <row r="94" spans="1:21" ht="30" x14ac:dyDescent="0.25">
      <c r="A94" s="4" t="s">
        <v>251</v>
      </c>
      <c r="B94" s="4" t="s">
        <v>252</v>
      </c>
      <c r="C94" s="5" t="s">
        <v>20</v>
      </c>
      <c r="D94" s="6">
        <v>25</v>
      </c>
      <c r="E94" s="4" t="s">
        <v>81</v>
      </c>
      <c r="F94" s="4" t="s">
        <v>82</v>
      </c>
      <c r="H94" s="4">
        <v>25</v>
      </c>
      <c r="I94" s="36" t="s">
        <v>83</v>
      </c>
      <c r="J94" s="4" t="s">
        <v>641</v>
      </c>
      <c r="K94" s="36">
        <v>4021070</v>
      </c>
      <c r="L94" s="4"/>
      <c r="M94" s="4"/>
      <c r="N94" s="37" t="s">
        <v>609</v>
      </c>
      <c r="O94" s="37">
        <v>17062026</v>
      </c>
      <c r="Q94" s="7">
        <f>IF(D94="","",D94)</f>
        <v>25</v>
      </c>
      <c r="R94" s="7">
        <f>IF(H94="","",H94)</f>
        <v>25</v>
      </c>
      <c r="S94" s="31" t="str">
        <f>IF(R94="","",IF(N(R94)=0,"NÖTR",IF(Q94="","TEKRAR",IF(ROUND(Q94-R94,2)&gt;=0,"ONAYLANDI","TEKRAR"))))</f>
        <v>ONAYLANDI</v>
      </c>
      <c r="T94" s="8">
        <f>IF(OR(Q94="",R94=""),"",ROUND(Q94-R94,2))</f>
        <v>0</v>
      </c>
      <c r="U94" s="9"/>
    </row>
    <row r="95" spans="1:21" ht="30" x14ac:dyDescent="0.25">
      <c r="A95" s="4" t="s">
        <v>253</v>
      </c>
      <c r="B95" s="4" t="s">
        <v>254</v>
      </c>
      <c r="C95" s="5" t="s">
        <v>20</v>
      </c>
      <c r="D95" s="6">
        <v>5</v>
      </c>
      <c r="E95" s="4" t="s">
        <v>81</v>
      </c>
      <c r="F95" s="4" t="s">
        <v>82</v>
      </c>
      <c r="H95" s="4">
        <v>5</v>
      </c>
      <c r="I95" s="36" t="s">
        <v>83</v>
      </c>
      <c r="J95" s="4" t="s">
        <v>642</v>
      </c>
      <c r="K95" s="36">
        <v>4021071</v>
      </c>
      <c r="L95" s="4"/>
      <c r="M95" s="4"/>
      <c r="N95" s="37" t="s">
        <v>609</v>
      </c>
      <c r="O95" s="37">
        <v>17062026</v>
      </c>
      <c r="Q95" s="7">
        <f>IF(D95="","",D95)</f>
        <v>5</v>
      </c>
      <c r="R95" s="7">
        <f>IF(H95="","",H95)</f>
        <v>5</v>
      </c>
      <c r="S95" s="31" t="str">
        <f>IF(R95="","",IF(N(R95)=0,"NÖTR",IF(Q95="","TEKRAR",IF(ROUND(Q95-R95,2)&gt;=0,"ONAYLANDI","TEKRAR"))))</f>
        <v>ONAYLANDI</v>
      </c>
      <c r="T95" s="8">
        <f>IF(OR(Q95="",R95=""),"",ROUND(Q95-R95,2))</f>
        <v>0</v>
      </c>
      <c r="U95" s="9"/>
    </row>
    <row r="96" spans="1:21" ht="75" x14ac:dyDescent="0.25">
      <c r="A96" s="4" t="s">
        <v>255</v>
      </c>
      <c r="B96" s="4" t="s">
        <v>256</v>
      </c>
      <c r="C96" s="5" t="s">
        <v>20</v>
      </c>
      <c r="D96" s="6">
        <v>1290</v>
      </c>
      <c r="E96" s="4" t="s">
        <v>78</v>
      </c>
      <c r="F96" s="4" t="s">
        <v>257</v>
      </c>
      <c r="H96" s="4">
        <v>686</v>
      </c>
      <c r="I96" s="36" t="s">
        <v>20</v>
      </c>
      <c r="J96" s="4" t="s">
        <v>643</v>
      </c>
      <c r="K96" s="36">
        <v>4021072</v>
      </c>
      <c r="L96" s="4"/>
      <c r="M96" s="4"/>
      <c r="N96" s="37" t="s">
        <v>609</v>
      </c>
      <c r="O96" s="37" t="s">
        <v>258</v>
      </c>
      <c r="Q96" s="7">
        <f>IF(D96="","",D96)</f>
        <v>1290</v>
      </c>
      <c r="R96" s="7">
        <f>IF(H96="","",H96)</f>
        <v>686</v>
      </c>
      <c r="S96" s="31" t="str">
        <f>IF(R96="","",IF(N(R96)=0,"NÖTR",IF(Q96="","TEKRAR",IF(ROUND(Q96-R96,2)&gt;=0,"ONAYLANDI","TEKRAR"))))</f>
        <v>ONAYLANDI</v>
      </c>
      <c r="T96" s="8">
        <f>IF(OR(Q96="",R96=""),"",ROUND(Q96-R96,2))</f>
        <v>604</v>
      </c>
      <c r="U96" s="9"/>
    </row>
    <row r="97" spans="1:21" ht="75" x14ac:dyDescent="0.25">
      <c r="A97" s="4" t="s">
        <v>259</v>
      </c>
      <c r="B97" s="4" t="s">
        <v>260</v>
      </c>
      <c r="C97" s="5" t="s">
        <v>20</v>
      </c>
      <c r="D97" s="6">
        <v>658</v>
      </c>
      <c r="E97" s="4" t="s">
        <v>78</v>
      </c>
      <c r="F97" s="4" t="s">
        <v>261</v>
      </c>
      <c r="H97" s="4">
        <v>682</v>
      </c>
      <c r="I97" s="36" t="s">
        <v>20</v>
      </c>
      <c r="J97" s="4" t="s">
        <v>644</v>
      </c>
      <c r="K97" s="36">
        <v>4021094</v>
      </c>
      <c r="L97" s="4"/>
      <c r="M97" s="4"/>
      <c r="N97" s="37" t="s">
        <v>609</v>
      </c>
      <c r="O97" s="37" t="s">
        <v>262</v>
      </c>
      <c r="Q97" s="7">
        <f>IF(D97="","",D97)</f>
        <v>658</v>
      </c>
      <c r="R97" s="7">
        <f>IF(H97="","",H97)</f>
        <v>682</v>
      </c>
      <c r="S97" s="31" t="str">
        <f>IF(R97="","",IF(N(R97)=0,"NÖTR",IF(Q97="","TEKRAR",IF(ROUND(Q97-R97,2)&gt;=0,"ONAYLANDI","TEKRAR"))))</f>
        <v>TEKRAR</v>
      </c>
      <c r="T97" s="8">
        <f>IF(OR(Q97="",R97=""),"",ROUND(Q97-R97,2))</f>
        <v>-24</v>
      </c>
      <c r="U97" s="9"/>
    </row>
    <row r="98" spans="1:21" ht="30" x14ac:dyDescent="0.25">
      <c r="A98" s="4" t="s">
        <v>263</v>
      </c>
      <c r="B98" s="4" t="s">
        <v>264</v>
      </c>
      <c r="C98" s="5" t="s">
        <v>20</v>
      </c>
      <c r="D98" s="6">
        <v>19</v>
      </c>
      <c r="E98" s="4" t="s">
        <v>78</v>
      </c>
      <c r="F98" s="4" t="s">
        <v>230</v>
      </c>
      <c r="H98" s="4">
        <v>19</v>
      </c>
      <c r="I98" s="36" t="s">
        <v>20</v>
      </c>
      <c r="J98" s="4" t="s">
        <v>645</v>
      </c>
      <c r="K98" s="36">
        <v>4021101</v>
      </c>
      <c r="L98" s="4"/>
      <c r="M98" s="4"/>
      <c r="N98" s="37" t="s">
        <v>609</v>
      </c>
      <c r="O98" s="37">
        <v>21042026</v>
      </c>
      <c r="Q98" s="7">
        <f>IF(D98="","",D98)</f>
        <v>19</v>
      </c>
      <c r="R98" s="7">
        <f>IF(H98="","",H98)</f>
        <v>19</v>
      </c>
      <c r="S98" s="31" t="str">
        <f>IF(R98="","",IF(N(R98)=0,"NÖTR",IF(Q98="","TEKRAR",IF(ROUND(Q98-R98,2)&gt;=0,"ONAYLANDI","TEKRAR"))))</f>
        <v>ONAYLANDI</v>
      </c>
      <c r="T98" s="8">
        <f>IF(OR(Q98="",R98=""),"",ROUND(Q98-R98,2))</f>
        <v>0</v>
      </c>
      <c r="U98" s="9"/>
    </row>
    <row r="99" spans="1:21" ht="30" x14ac:dyDescent="0.25">
      <c r="A99" s="4" t="s">
        <v>265</v>
      </c>
      <c r="B99" s="4" t="s">
        <v>266</v>
      </c>
      <c r="C99" s="5" t="s">
        <v>20</v>
      </c>
      <c r="D99" s="6">
        <v>322</v>
      </c>
      <c r="E99" s="4" t="s">
        <v>78</v>
      </c>
      <c r="F99" s="4" t="s">
        <v>230</v>
      </c>
      <c r="H99" s="4">
        <v>322</v>
      </c>
      <c r="I99" s="36" t="s">
        <v>20</v>
      </c>
      <c r="J99" s="4" t="s">
        <v>646</v>
      </c>
      <c r="K99" s="36">
        <v>4021104</v>
      </c>
      <c r="L99" s="4"/>
      <c r="M99" s="4"/>
      <c r="N99" s="37" t="s">
        <v>609</v>
      </c>
      <c r="O99" s="37">
        <v>21042026</v>
      </c>
      <c r="Q99" s="7">
        <f>IF(D99="","",D99)</f>
        <v>322</v>
      </c>
      <c r="R99" s="7">
        <f>IF(H99="","",H99)</f>
        <v>322</v>
      </c>
      <c r="S99" s="31" t="str">
        <f>IF(R99="","",IF(N(R99)=0,"NÖTR",IF(Q99="","TEKRAR",IF(ROUND(Q99-R99,2)&gt;=0,"ONAYLANDI","TEKRAR"))))</f>
        <v>ONAYLANDI</v>
      </c>
      <c r="T99" s="8">
        <f>IF(OR(Q99="",R99=""),"",ROUND(Q99-R99,2))</f>
        <v>0</v>
      </c>
      <c r="U99" s="9"/>
    </row>
    <row r="100" spans="1:21" ht="30" x14ac:dyDescent="0.25">
      <c r="A100" s="4" t="s">
        <v>267</v>
      </c>
      <c r="B100" s="4" t="s">
        <v>268</v>
      </c>
      <c r="C100" s="5" t="s">
        <v>20</v>
      </c>
      <c r="D100" s="6">
        <v>137</v>
      </c>
      <c r="E100" s="4" t="s">
        <v>78</v>
      </c>
      <c r="F100" s="4" t="s">
        <v>230</v>
      </c>
      <c r="H100" s="4">
        <v>137</v>
      </c>
      <c r="I100" s="36" t="s">
        <v>20</v>
      </c>
      <c r="J100" s="4" t="s">
        <v>647</v>
      </c>
      <c r="K100" s="36">
        <v>4021113</v>
      </c>
      <c r="L100" s="4"/>
      <c r="M100" s="4"/>
      <c r="N100" s="37" t="s">
        <v>609</v>
      </c>
      <c r="O100" s="37">
        <v>21042026</v>
      </c>
      <c r="Q100" s="7">
        <f>IF(D100="","",D100)</f>
        <v>137</v>
      </c>
      <c r="R100" s="7">
        <f>IF(H100="","",H100)</f>
        <v>137</v>
      </c>
      <c r="S100" s="31" t="str">
        <f>IF(R100="","",IF(N(R100)=0,"NÖTR",IF(Q100="","TEKRAR",IF(ROUND(Q100-R100,2)&gt;=0,"ONAYLANDI","TEKRAR"))))</f>
        <v>ONAYLANDI</v>
      </c>
      <c r="T100" s="8">
        <f>IF(OR(Q100="",R100=""),"",ROUND(Q100-R100,2))</f>
        <v>0</v>
      </c>
      <c r="U100" s="9"/>
    </row>
    <row r="101" spans="1:21" ht="60" x14ac:dyDescent="0.25">
      <c r="A101" s="4" t="s">
        <v>269</v>
      </c>
      <c r="B101" s="4" t="s">
        <v>270</v>
      </c>
      <c r="C101" s="5" t="s">
        <v>68</v>
      </c>
      <c r="D101" s="6">
        <v>26</v>
      </c>
      <c r="E101" s="4" t="s">
        <v>62</v>
      </c>
      <c r="F101" s="4" t="s">
        <v>271</v>
      </c>
      <c r="H101" s="4"/>
      <c r="I101" s="36"/>
      <c r="J101" s="4"/>
      <c r="K101" s="36"/>
      <c r="L101" s="4"/>
      <c r="M101" s="4"/>
      <c r="N101" s="37" t="s">
        <v>608</v>
      </c>
      <c r="O101" s="37"/>
      <c r="Q101" s="7">
        <f>IF(D101="","",D101)</f>
        <v>26</v>
      </c>
      <c r="R101" s="7" t="str">
        <f>IF(H101="","",H101)</f>
        <v/>
      </c>
      <c r="S101" s="31" t="str">
        <f>IF(R101="","",IF(N(R101)=0,"NÖTR",IF(Q101="","TEKRAR",IF(ROUND(Q101-R101,2)&gt;=0,"ONAYLANDI","TEKRAR"))))</f>
        <v/>
      </c>
      <c r="T101" s="8" t="str">
        <f>IF(OR(Q101="",R101=""),"",ROUND(Q101-R101,2))</f>
        <v/>
      </c>
      <c r="U101" s="9"/>
    </row>
    <row r="102" spans="1:21" ht="30" x14ac:dyDescent="0.25">
      <c r="A102" s="4" t="s">
        <v>269</v>
      </c>
      <c r="B102" s="4" t="s">
        <v>270</v>
      </c>
      <c r="C102" s="5" t="s">
        <v>68</v>
      </c>
      <c r="D102" s="6">
        <v>300</v>
      </c>
      <c r="E102" s="4" t="s">
        <v>78</v>
      </c>
      <c r="F102" s="4" t="s">
        <v>272</v>
      </c>
      <c r="H102" s="35">
        <v>200</v>
      </c>
      <c r="I102" s="36" t="s">
        <v>68</v>
      </c>
      <c r="J102" s="4" t="s">
        <v>269</v>
      </c>
      <c r="K102" s="36">
        <v>4022028</v>
      </c>
      <c r="L102" s="4"/>
      <c r="M102" s="4" t="s">
        <v>78</v>
      </c>
      <c r="N102" s="37" t="s">
        <v>23</v>
      </c>
      <c r="O102" s="37"/>
      <c r="Q102" s="7">
        <f>IF(D102="","",D102)</f>
        <v>300</v>
      </c>
      <c r="R102" s="7">
        <f>IF(H102="","",H102)</f>
        <v>200</v>
      </c>
      <c r="S102" s="31" t="str">
        <f>IF(R102="","",IF(N(R102)=0,"NÖTR",IF(Q102="","TEKRAR",IF(ROUND(Q102-R102,2)&gt;=0,"ONAYLANDI","TEKRAR"))))</f>
        <v>ONAYLANDI</v>
      </c>
      <c r="T102" s="8">
        <f>IF(OR(Q102="",R102=""),"",ROUND(Q102-R102,2))</f>
        <v>100</v>
      </c>
      <c r="U102" s="9"/>
    </row>
    <row r="103" spans="1:21" ht="120" x14ac:dyDescent="0.25">
      <c r="A103" s="4" t="s">
        <v>273</v>
      </c>
      <c r="B103" s="4" t="s">
        <v>274</v>
      </c>
      <c r="C103" s="5" t="s">
        <v>68</v>
      </c>
      <c r="D103" s="6">
        <v>500</v>
      </c>
      <c r="E103" s="4" t="s">
        <v>62</v>
      </c>
      <c r="F103" s="4" t="s">
        <v>229</v>
      </c>
      <c r="H103" s="4"/>
      <c r="I103" s="36"/>
      <c r="J103" s="4"/>
      <c r="K103" s="36"/>
      <c r="L103" s="4"/>
      <c r="M103" s="4"/>
      <c r="N103" s="37" t="s">
        <v>608</v>
      </c>
      <c r="O103" s="37"/>
      <c r="Q103" s="7">
        <f>IF(D103="","",D103)</f>
        <v>500</v>
      </c>
      <c r="R103" s="7" t="str">
        <f>IF(H103="","",H103)</f>
        <v/>
      </c>
      <c r="S103" s="31" t="str">
        <f>IF(R103="","",IF(N(R103)=0,"NÖTR",IF(Q103="","TEKRAR",IF(ROUND(Q103-R103,2)&gt;=0,"ONAYLANDI","TEKRAR"))))</f>
        <v/>
      </c>
      <c r="T103" s="8" t="str">
        <f>IF(OR(Q103="",R103=""),"",ROUND(Q103-R103,2))</f>
        <v/>
      </c>
      <c r="U103" s="9"/>
    </row>
    <row r="104" spans="1:21" ht="30" x14ac:dyDescent="0.25">
      <c r="A104" s="4" t="s">
        <v>275</v>
      </c>
      <c r="B104" s="4" t="s">
        <v>276</v>
      </c>
      <c r="C104" s="5" t="s">
        <v>20</v>
      </c>
      <c r="D104" s="6">
        <v>159</v>
      </c>
      <c r="E104" s="4" t="s">
        <v>78</v>
      </c>
      <c r="F104" s="4" t="s">
        <v>277</v>
      </c>
      <c r="H104" s="35">
        <f>32+127</f>
        <v>159</v>
      </c>
      <c r="I104" s="36" t="s">
        <v>20</v>
      </c>
      <c r="J104" s="4" t="s">
        <v>275</v>
      </c>
      <c r="K104" s="36">
        <v>4022047</v>
      </c>
      <c r="L104" s="4"/>
      <c r="M104" s="4" t="s">
        <v>78</v>
      </c>
      <c r="N104" s="37" t="s">
        <v>601</v>
      </c>
      <c r="O104" s="37">
        <v>21042026</v>
      </c>
      <c r="Q104" s="7">
        <f>IF(D104="","",D104)</f>
        <v>159</v>
      </c>
      <c r="R104" s="7">
        <f>IF(H104="","",H104)</f>
        <v>159</v>
      </c>
      <c r="S104" s="31" t="str">
        <f>IF(R104="","",IF(N(R104)=0,"NÖTR",IF(Q104="","TEKRAR",IF(ROUND(Q104-R104,2)&gt;=0,"ONAYLANDI","TEKRAR"))))</f>
        <v>ONAYLANDI</v>
      </c>
      <c r="T104" s="8">
        <f>IF(OR(Q104="",R104=""),"",ROUND(Q104-R104,2))</f>
        <v>0</v>
      </c>
      <c r="U104" s="9"/>
    </row>
    <row r="105" spans="1:21" ht="75" x14ac:dyDescent="0.25">
      <c r="A105" s="4" t="s">
        <v>278</v>
      </c>
      <c r="B105" s="4" t="s">
        <v>279</v>
      </c>
      <c r="C105" s="5" t="s">
        <v>20</v>
      </c>
      <c r="D105" s="6">
        <v>934</v>
      </c>
      <c r="E105" s="4" t="s">
        <v>78</v>
      </c>
      <c r="F105" s="4" t="s">
        <v>280</v>
      </c>
      <c r="H105" s="4">
        <v>934</v>
      </c>
      <c r="I105" s="36" t="s">
        <v>20</v>
      </c>
      <c r="J105" s="4" t="s">
        <v>648</v>
      </c>
      <c r="K105" s="36">
        <v>4022048</v>
      </c>
      <c r="L105" s="4"/>
      <c r="M105" s="4"/>
      <c r="N105" s="37" t="s">
        <v>609</v>
      </c>
      <c r="O105" s="37" t="s">
        <v>281</v>
      </c>
      <c r="Q105" s="7">
        <f>IF(D105="","",D105)</f>
        <v>934</v>
      </c>
      <c r="R105" s="7">
        <f>IF(H105="","",H105)</f>
        <v>934</v>
      </c>
      <c r="S105" s="31" t="str">
        <f>IF(R105="","",IF(N(R105)=0,"NÖTR",IF(Q105="","TEKRAR",IF(ROUND(Q105-R105,2)&gt;=0,"ONAYLANDI","TEKRAR"))))</f>
        <v>ONAYLANDI</v>
      </c>
      <c r="T105" s="8">
        <f>IF(OR(Q105="",R105=""),"",ROUND(Q105-R105,2))</f>
        <v>0</v>
      </c>
      <c r="U105" s="9"/>
    </row>
    <row r="106" spans="1:21" ht="30" x14ac:dyDescent="0.25">
      <c r="A106" s="4" t="s">
        <v>282</v>
      </c>
      <c r="B106" s="4" t="s">
        <v>283</v>
      </c>
      <c r="C106" s="5" t="s">
        <v>20</v>
      </c>
      <c r="D106" s="6">
        <v>17</v>
      </c>
      <c r="E106" s="4" t="s">
        <v>81</v>
      </c>
      <c r="F106" s="4" t="s">
        <v>82</v>
      </c>
      <c r="H106" s="35">
        <f>2+15</f>
        <v>17</v>
      </c>
      <c r="I106" s="36" t="s">
        <v>20</v>
      </c>
      <c r="J106" s="4" t="s">
        <v>282</v>
      </c>
      <c r="K106" s="36">
        <v>4022056</v>
      </c>
      <c r="L106" s="4"/>
      <c r="M106" s="4" t="s">
        <v>81</v>
      </c>
      <c r="N106" s="37" t="s">
        <v>601</v>
      </c>
      <c r="O106" s="37">
        <v>17062026</v>
      </c>
      <c r="Q106" s="7">
        <f>IF(D106="","",D106)</f>
        <v>17</v>
      </c>
      <c r="R106" s="7">
        <f>IF(H106="","",H106)</f>
        <v>17</v>
      </c>
      <c r="S106" s="31" t="str">
        <f>IF(R106="","",IF(N(R106)=0,"NÖTR",IF(Q106="","TEKRAR",IF(ROUND(Q106-R106,2)&gt;=0,"ONAYLANDI","TEKRAR"))))</f>
        <v>ONAYLANDI</v>
      </c>
      <c r="T106" s="8">
        <f>IF(OR(Q106="",R106=""),"",ROUND(Q106-R106,2))</f>
        <v>0</v>
      </c>
      <c r="U106" s="9"/>
    </row>
    <row r="107" spans="1:21" ht="45" x14ac:dyDescent="0.25">
      <c r="A107" s="4" t="s">
        <v>284</v>
      </c>
      <c r="B107" s="4" t="s">
        <v>285</v>
      </c>
      <c r="C107" s="5" t="s">
        <v>20</v>
      </c>
      <c r="D107" s="6">
        <v>170</v>
      </c>
      <c r="E107" s="4" t="s">
        <v>78</v>
      </c>
      <c r="F107" s="4" t="s">
        <v>286</v>
      </c>
      <c r="H107" s="4">
        <v>146</v>
      </c>
      <c r="I107" s="36" t="s">
        <v>20</v>
      </c>
      <c r="J107" s="4" t="s">
        <v>649</v>
      </c>
      <c r="K107" s="36">
        <v>4022059</v>
      </c>
      <c r="L107" s="4"/>
      <c r="M107" s="4"/>
      <c r="N107" s="37" t="s">
        <v>609</v>
      </c>
      <c r="O107" s="37" t="s">
        <v>80</v>
      </c>
      <c r="Q107" s="7">
        <f>IF(D107="","",D107)</f>
        <v>170</v>
      </c>
      <c r="R107" s="7">
        <f>IF(H107="","",H107)</f>
        <v>146</v>
      </c>
      <c r="S107" s="31" t="str">
        <f>IF(R107="","",IF(N(R107)=0,"NÖTR",IF(Q107="","TEKRAR",IF(ROUND(Q107-R107,2)&gt;=0,"ONAYLANDI","TEKRAR"))))</f>
        <v>ONAYLANDI</v>
      </c>
      <c r="T107" s="8">
        <f>IF(OR(Q107="",R107=""),"",ROUND(Q107-R107,2))</f>
        <v>24</v>
      </c>
      <c r="U107" s="9"/>
    </row>
    <row r="108" spans="1:21" ht="30" x14ac:dyDescent="0.25">
      <c r="A108" s="4" t="s">
        <v>287</v>
      </c>
      <c r="B108" s="4" t="s">
        <v>288</v>
      </c>
      <c r="C108" s="5" t="s">
        <v>20</v>
      </c>
      <c r="D108" s="6">
        <v>55</v>
      </c>
      <c r="E108" s="4" t="s">
        <v>78</v>
      </c>
      <c r="F108" s="4" t="s">
        <v>289</v>
      </c>
      <c r="H108" s="35">
        <f>13+42</f>
        <v>55</v>
      </c>
      <c r="I108" s="36" t="s">
        <v>20</v>
      </c>
      <c r="J108" s="4" t="s">
        <v>290</v>
      </c>
      <c r="K108" s="36">
        <v>4022135</v>
      </c>
      <c r="L108" s="4"/>
      <c r="M108" s="4" t="s">
        <v>78</v>
      </c>
      <c r="N108" s="37" t="s">
        <v>601</v>
      </c>
      <c r="O108" s="37" t="s">
        <v>291</v>
      </c>
      <c r="Q108" s="7">
        <f>IF(D108="","",D108)</f>
        <v>55</v>
      </c>
      <c r="R108" s="7">
        <f>IF(H108="","",H108)</f>
        <v>55</v>
      </c>
      <c r="S108" s="31" t="str">
        <f>IF(R108="","",IF(N(R108)=0,"NÖTR",IF(Q108="","TEKRAR",IF(ROUND(Q108-R108,2)&gt;=0,"ONAYLANDI","TEKRAR"))))</f>
        <v>ONAYLANDI</v>
      </c>
      <c r="T108" s="8">
        <f>IF(OR(Q108="",R108=""),"",ROUND(Q108-R108,2))</f>
        <v>0</v>
      </c>
      <c r="U108" s="9"/>
    </row>
    <row r="109" spans="1:21" ht="30" x14ac:dyDescent="0.25">
      <c r="A109" s="4" t="s">
        <v>292</v>
      </c>
      <c r="B109" s="4" t="s">
        <v>293</v>
      </c>
      <c r="C109" s="5" t="s">
        <v>68</v>
      </c>
      <c r="D109" s="6">
        <v>2</v>
      </c>
      <c r="E109" s="4" t="s">
        <v>62</v>
      </c>
      <c r="F109" s="4" t="s">
        <v>294</v>
      </c>
      <c r="H109" s="4"/>
      <c r="I109" s="36"/>
      <c r="J109" s="4"/>
      <c r="K109" s="36"/>
      <c r="L109" s="4"/>
      <c r="M109" s="4"/>
      <c r="N109" s="37" t="s">
        <v>608</v>
      </c>
      <c r="O109" s="37"/>
      <c r="Q109" s="7">
        <f>IF(D109="","",D109)</f>
        <v>2</v>
      </c>
      <c r="R109" s="7" t="str">
        <f>IF(H109="","",H109)</f>
        <v/>
      </c>
      <c r="S109" s="31" t="str">
        <f>IF(R109="","",IF(N(R109)=0,"NÖTR",IF(Q109="","TEKRAR",IF(ROUND(Q109-R109,2)&gt;=0,"ONAYLANDI","TEKRAR"))))</f>
        <v/>
      </c>
      <c r="T109" s="8" t="str">
        <f>IF(OR(Q109="",R109=""),"",ROUND(Q109-R109,2))</f>
        <v/>
      </c>
      <c r="U109" s="9"/>
    </row>
    <row r="110" spans="1:21" ht="30" x14ac:dyDescent="0.25">
      <c r="A110" s="4" t="s">
        <v>292</v>
      </c>
      <c r="B110" s="4" t="s">
        <v>293</v>
      </c>
      <c r="C110" s="5" t="s">
        <v>68</v>
      </c>
      <c r="D110" s="6">
        <v>150</v>
      </c>
      <c r="E110" s="4" t="s">
        <v>78</v>
      </c>
      <c r="F110" s="4" t="s">
        <v>272</v>
      </c>
      <c r="H110" s="35">
        <v>50</v>
      </c>
      <c r="I110" s="36" t="s">
        <v>68</v>
      </c>
      <c r="J110" s="4" t="s">
        <v>292</v>
      </c>
      <c r="K110" s="36">
        <v>4033089</v>
      </c>
      <c r="L110" s="4"/>
      <c r="M110" s="4" t="s">
        <v>78</v>
      </c>
      <c r="N110" s="37" t="s">
        <v>23</v>
      </c>
      <c r="O110" s="37"/>
      <c r="Q110" s="7">
        <f>IF(D110="","",D110)</f>
        <v>150</v>
      </c>
      <c r="R110" s="7">
        <f>IF(H110="","",H110)</f>
        <v>50</v>
      </c>
      <c r="S110" s="31" t="str">
        <f>IF(R110="","",IF(N(R110)=0,"NÖTR",IF(Q110="","TEKRAR",IF(ROUND(Q110-R110,2)&gt;=0,"ONAYLANDI","TEKRAR"))))</f>
        <v>ONAYLANDI</v>
      </c>
      <c r="T110" s="8">
        <f>IF(OR(Q110="",R110=""),"",ROUND(Q110-R110,2))</f>
        <v>100</v>
      </c>
      <c r="U110" s="9"/>
    </row>
    <row r="111" spans="1:21" ht="45" x14ac:dyDescent="0.25">
      <c r="A111" s="4" t="s">
        <v>295</v>
      </c>
      <c r="B111" s="4" t="s">
        <v>296</v>
      </c>
      <c r="C111" s="5" t="s">
        <v>68</v>
      </c>
      <c r="D111" s="6">
        <v>19</v>
      </c>
      <c r="E111" s="4" t="s">
        <v>62</v>
      </c>
      <c r="F111" s="4" t="s">
        <v>297</v>
      </c>
      <c r="H111" s="4"/>
      <c r="I111" s="36"/>
      <c r="J111" s="4"/>
      <c r="K111" s="36"/>
      <c r="L111" s="4"/>
      <c r="M111" s="4"/>
      <c r="N111" s="37" t="s">
        <v>608</v>
      </c>
      <c r="O111" s="37"/>
      <c r="Q111" s="7">
        <f>IF(D111="","",D111)</f>
        <v>19</v>
      </c>
      <c r="R111" s="7" t="str">
        <f>IF(H111="","",H111)</f>
        <v/>
      </c>
      <c r="S111" s="31" t="str">
        <f>IF(R111="","",IF(N(R111)=0,"NÖTR",IF(Q111="","TEKRAR",IF(ROUND(Q111-R111,2)&gt;=0,"ONAYLANDI","TEKRAR"))))</f>
        <v/>
      </c>
      <c r="T111" s="8" t="str">
        <f>IF(OR(Q111="",R111=""),"",ROUND(Q111-R111,2))</f>
        <v/>
      </c>
      <c r="U111" s="9"/>
    </row>
    <row r="112" spans="1:21" ht="30" x14ac:dyDescent="0.25">
      <c r="A112" s="4" t="s">
        <v>298</v>
      </c>
      <c r="B112" s="4" t="s">
        <v>299</v>
      </c>
      <c r="C112" s="5" t="s">
        <v>20</v>
      </c>
      <c r="D112" s="6">
        <v>4</v>
      </c>
      <c r="E112" s="4" t="s">
        <v>78</v>
      </c>
      <c r="F112" s="4" t="s">
        <v>129</v>
      </c>
      <c r="H112" s="4"/>
      <c r="I112" s="36"/>
      <c r="J112" s="4"/>
      <c r="K112" s="36"/>
      <c r="L112" s="4"/>
      <c r="M112" s="4"/>
      <c r="N112" s="37" t="s">
        <v>608</v>
      </c>
      <c r="O112" s="37"/>
      <c r="Q112" s="7">
        <f>IF(D112="","",D112)</f>
        <v>4</v>
      </c>
      <c r="R112" s="7" t="str">
        <f>IF(H112="","",H112)</f>
        <v/>
      </c>
      <c r="S112" s="31" t="str">
        <f>IF(R112="","",IF(N(R112)=0,"NÖTR",IF(Q112="","TEKRAR",IF(ROUND(Q112-R112,2)&gt;=0,"ONAYLANDI","TEKRAR"))))</f>
        <v/>
      </c>
      <c r="T112" s="8" t="str">
        <f>IF(OR(Q112="",R112=""),"",ROUND(Q112-R112,2))</f>
        <v/>
      </c>
      <c r="U112" s="9"/>
    </row>
    <row r="113" spans="1:21" ht="120" x14ac:dyDescent="0.25">
      <c r="A113" s="4" t="s">
        <v>300</v>
      </c>
      <c r="B113" s="4" t="s">
        <v>301</v>
      </c>
      <c r="C113" s="5" t="s">
        <v>68</v>
      </c>
      <c r="D113" s="6">
        <v>188</v>
      </c>
      <c r="E113" s="4" t="s">
        <v>62</v>
      </c>
      <c r="F113" s="4" t="s">
        <v>229</v>
      </c>
      <c r="H113" s="4"/>
      <c r="I113" s="36"/>
      <c r="J113" s="4"/>
      <c r="K113" s="36"/>
      <c r="L113" s="4"/>
      <c r="M113" s="4"/>
      <c r="N113" s="37" t="s">
        <v>608</v>
      </c>
      <c r="O113" s="37"/>
      <c r="Q113" s="7">
        <f>IF(D113="","",D113)</f>
        <v>188</v>
      </c>
      <c r="R113" s="7" t="str">
        <f>IF(H113="","",H113)</f>
        <v/>
      </c>
      <c r="S113" s="31" t="str">
        <f>IF(R113="","",IF(N(R113)=0,"NÖTR",IF(Q113="","TEKRAR",IF(ROUND(Q113-R113,2)&gt;=0,"ONAYLANDI","TEKRAR"))))</f>
        <v/>
      </c>
      <c r="T113" s="8" t="str">
        <f>IF(OR(Q113="",R113=""),"",ROUND(Q113-R113,2))</f>
        <v/>
      </c>
      <c r="U113" s="9"/>
    </row>
    <row r="114" spans="1:21" ht="30" x14ac:dyDescent="0.25">
      <c r="A114" s="4" t="s">
        <v>302</v>
      </c>
      <c r="B114" s="4" t="s">
        <v>303</v>
      </c>
      <c r="C114" s="5" t="s">
        <v>20</v>
      </c>
      <c r="D114" s="6">
        <v>32</v>
      </c>
      <c r="E114" s="4" t="s">
        <v>78</v>
      </c>
      <c r="F114" s="4" t="s">
        <v>304</v>
      </c>
      <c r="H114" s="38">
        <f>30+2</f>
        <v>32</v>
      </c>
      <c r="I114" s="39" t="s">
        <v>20</v>
      </c>
      <c r="J114" s="13" t="s">
        <v>302</v>
      </c>
      <c r="K114" s="39">
        <v>4033127</v>
      </c>
      <c r="L114" s="13"/>
      <c r="M114" s="13" t="s">
        <v>78</v>
      </c>
      <c r="N114" s="40" t="s">
        <v>49</v>
      </c>
      <c r="O114" s="40"/>
      <c r="Q114" s="7">
        <f>IF(D114="","",D114)</f>
        <v>32</v>
      </c>
      <c r="R114" s="7">
        <f>IF(H114="","",H114)</f>
        <v>32</v>
      </c>
      <c r="S114" s="31" t="str">
        <f>IF(R114="","",IF(N(R114)=0,"NÖTR",IF(Q114="","TEKRAR",IF(ROUND(Q114-R114,2)&gt;=0,"ONAYLANDI","TEKRAR"))))</f>
        <v>ONAYLANDI</v>
      </c>
      <c r="T114" s="8">
        <f>IF(OR(Q114="",R114=""),"",ROUND(Q114-R114,2))</f>
        <v>0</v>
      </c>
      <c r="U114" s="9"/>
    </row>
    <row r="115" spans="1:21" ht="30" x14ac:dyDescent="0.25">
      <c r="A115" s="4" t="s">
        <v>305</v>
      </c>
      <c r="B115" s="4" t="s">
        <v>306</v>
      </c>
      <c r="C115" s="5" t="s">
        <v>20</v>
      </c>
      <c r="D115" s="6">
        <v>24</v>
      </c>
      <c r="E115" s="4" t="s">
        <v>78</v>
      </c>
      <c r="F115" s="4" t="s">
        <v>307</v>
      </c>
      <c r="H115" s="4">
        <f>24+17</f>
        <v>41</v>
      </c>
      <c r="I115" s="36" t="s">
        <v>20</v>
      </c>
      <c r="J115" s="4" t="s">
        <v>650</v>
      </c>
      <c r="K115" s="36">
        <v>4033133</v>
      </c>
      <c r="L115" s="4"/>
      <c r="M115" s="4"/>
      <c r="N115" s="37" t="s">
        <v>609</v>
      </c>
      <c r="O115" s="37" t="s">
        <v>308</v>
      </c>
      <c r="Q115" s="48">
        <f>IF(D115="","",D115)</f>
        <v>24</v>
      </c>
      <c r="R115" s="48">
        <f>IF(H115="","",H115)</f>
        <v>41</v>
      </c>
      <c r="S115" s="49" t="str">
        <f>IF(R115="","",IF(N(R115)=0,"NÖTR",IF(Q115="","TEKRAR",IF(ROUND(Q115-R115,2)&gt;=0,"ONAYLANDI","TEKRAR"))))</f>
        <v>TEKRAR</v>
      </c>
      <c r="T115" s="50">
        <f>IF(OR(Q115="",R115=""),"",ROUND(Q115-R115,2))</f>
        <v>-17</v>
      </c>
      <c r="U115" s="51" t="s">
        <v>611</v>
      </c>
    </row>
    <row r="116" spans="1:21" ht="30" x14ac:dyDescent="0.25">
      <c r="A116" s="4" t="s">
        <v>309</v>
      </c>
      <c r="B116" s="4" t="s">
        <v>310</v>
      </c>
      <c r="C116" s="5" t="s">
        <v>20</v>
      </c>
      <c r="D116" s="6">
        <v>6</v>
      </c>
      <c r="E116" s="4" t="s">
        <v>78</v>
      </c>
      <c r="F116" s="4" t="s">
        <v>311</v>
      </c>
      <c r="H116" s="4">
        <v>6</v>
      </c>
      <c r="I116" s="36" t="s">
        <v>20</v>
      </c>
      <c r="J116" s="4" t="s">
        <v>651</v>
      </c>
      <c r="K116" s="36">
        <v>4033134</v>
      </c>
      <c r="L116" s="4"/>
      <c r="M116" s="4"/>
      <c r="N116" s="37" t="s">
        <v>609</v>
      </c>
      <c r="O116" s="37">
        <v>21042026</v>
      </c>
      <c r="Q116" s="7">
        <f>IF(D116="","",D116)</f>
        <v>6</v>
      </c>
      <c r="R116" s="7">
        <f>IF(H116="","",H116)</f>
        <v>6</v>
      </c>
      <c r="S116" s="31" t="str">
        <f>IF(R116="","",IF(N(R116)=0,"NÖTR",IF(Q116="","TEKRAR",IF(ROUND(Q116-R116,2)&gt;=0,"ONAYLANDI","TEKRAR"))))</f>
        <v>ONAYLANDI</v>
      </c>
      <c r="T116" s="8">
        <f>IF(OR(Q116="",R116=""),"",ROUND(Q116-R116,2))</f>
        <v>0</v>
      </c>
      <c r="U116" s="9"/>
    </row>
    <row r="117" spans="1:21" ht="30" x14ac:dyDescent="0.25">
      <c r="A117" s="4" t="s">
        <v>312</v>
      </c>
      <c r="B117" s="4" t="s">
        <v>313</v>
      </c>
      <c r="C117" s="5" t="s">
        <v>20</v>
      </c>
      <c r="D117" s="6">
        <v>192</v>
      </c>
      <c r="E117" s="4" t="s">
        <v>78</v>
      </c>
      <c r="F117" s="4" t="s">
        <v>314</v>
      </c>
      <c r="H117" s="4">
        <v>192</v>
      </c>
      <c r="I117" s="36" t="s">
        <v>20</v>
      </c>
      <c r="J117" s="4" t="s">
        <v>652</v>
      </c>
      <c r="K117" s="36">
        <v>4033135</v>
      </c>
      <c r="L117" s="4"/>
      <c r="M117" s="4"/>
      <c r="N117" s="37" t="s">
        <v>609</v>
      </c>
      <c r="O117" s="37" t="s">
        <v>314</v>
      </c>
      <c r="Q117" s="7">
        <f>IF(D117="","",D117)</f>
        <v>192</v>
      </c>
      <c r="R117" s="7">
        <f>IF(H117="","",H117)</f>
        <v>192</v>
      </c>
      <c r="S117" s="31" t="str">
        <f>IF(R117="","",IF(N(R117)=0,"NÖTR",IF(Q117="","TEKRAR",IF(ROUND(Q117-R117,2)&gt;=0,"ONAYLANDI","TEKRAR"))))</f>
        <v>ONAYLANDI</v>
      </c>
      <c r="T117" s="8">
        <f>IF(OR(Q117="",R117=""),"",ROUND(Q117-R117,2))</f>
        <v>0</v>
      </c>
      <c r="U117" s="9"/>
    </row>
    <row r="118" spans="1:21" ht="60" x14ac:dyDescent="0.25">
      <c r="A118" s="4" t="s">
        <v>315</v>
      </c>
      <c r="B118" s="4" t="s">
        <v>316</v>
      </c>
      <c r="C118" s="5" t="s">
        <v>20</v>
      </c>
      <c r="D118" s="6">
        <v>80</v>
      </c>
      <c r="E118" s="4" t="s">
        <v>78</v>
      </c>
      <c r="F118" s="4" t="s">
        <v>317</v>
      </c>
      <c r="H118" s="4">
        <v>80</v>
      </c>
      <c r="I118" s="36" t="s">
        <v>20</v>
      </c>
      <c r="J118" s="4" t="s">
        <v>653</v>
      </c>
      <c r="K118" s="36">
        <v>4033136</v>
      </c>
      <c r="L118" s="4"/>
      <c r="M118" s="4"/>
      <c r="N118" s="37" t="s">
        <v>609</v>
      </c>
      <c r="O118" s="37" t="s">
        <v>318</v>
      </c>
      <c r="Q118" s="7">
        <f>IF(D118="","",D118)</f>
        <v>80</v>
      </c>
      <c r="R118" s="7">
        <f>IF(H118="","",H118)</f>
        <v>80</v>
      </c>
      <c r="S118" s="31" t="str">
        <f>IF(R118="","",IF(N(R118)=0,"NÖTR",IF(Q118="","TEKRAR",IF(ROUND(Q118-R118,2)&gt;=0,"ONAYLANDI","TEKRAR"))))</f>
        <v>ONAYLANDI</v>
      </c>
      <c r="T118" s="8">
        <f>IF(OR(Q118="",R118=""),"",ROUND(Q118-R118,2))</f>
        <v>0</v>
      </c>
      <c r="U118" s="9"/>
    </row>
    <row r="119" spans="1:21" ht="75" x14ac:dyDescent="0.25">
      <c r="A119" s="4" t="s">
        <v>319</v>
      </c>
      <c r="B119" s="4" t="s">
        <v>320</v>
      </c>
      <c r="C119" s="5" t="s">
        <v>20</v>
      </c>
      <c r="D119" s="6">
        <v>89</v>
      </c>
      <c r="E119" s="4" t="s">
        <v>78</v>
      </c>
      <c r="F119" s="4" t="s">
        <v>321</v>
      </c>
      <c r="H119" s="4">
        <v>89</v>
      </c>
      <c r="I119" s="36" t="s">
        <v>20</v>
      </c>
      <c r="J119" s="4" t="s">
        <v>654</v>
      </c>
      <c r="K119" s="36">
        <v>4033137</v>
      </c>
      <c r="L119" s="4"/>
      <c r="M119" s="4"/>
      <c r="N119" s="37" t="s">
        <v>609</v>
      </c>
      <c r="O119" s="37" t="s">
        <v>322</v>
      </c>
      <c r="Q119" s="7">
        <f>IF(D119="","",D119)</f>
        <v>89</v>
      </c>
      <c r="R119" s="7">
        <f>IF(H119="","",H119)</f>
        <v>89</v>
      </c>
      <c r="S119" s="31" t="str">
        <f>IF(R119="","",IF(N(R119)=0,"NÖTR",IF(Q119="","TEKRAR",IF(ROUND(Q119-R119,2)&gt;=0,"ONAYLANDI","TEKRAR"))))</f>
        <v>ONAYLANDI</v>
      </c>
      <c r="T119" s="8">
        <f>IF(OR(Q119="",R119=""),"",ROUND(Q119-R119,2))</f>
        <v>0</v>
      </c>
      <c r="U119" s="9"/>
    </row>
    <row r="120" spans="1:21" ht="45" x14ac:dyDescent="0.25">
      <c r="A120" s="4" t="s">
        <v>323</v>
      </c>
      <c r="B120" s="4" t="s">
        <v>324</v>
      </c>
      <c r="C120" s="5" t="s">
        <v>20</v>
      </c>
      <c r="D120" s="6">
        <v>30</v>
      </c>
      <c r="E120" s="4" t="s">
        <v>78</v>
      </c>
      <c r="F120" s="4" t="s">
        <v>325</v>
      </c>
      <c r="H120" s="4">
        <v>30</v>
      </c>
      <c r="I120" s="36" t="s">
        <v>20</v>
      </c>
      <c r="J120" s="4" t="s">
        <v>655</v>
      </c>
      <c r="K120" s="36">
        <v>4033139</v>
      </c>
      <c r="L120" s="4"/>
      <c r="M120" s="4"/>
      <c r="N120" s="37" t="s">
        <v>609</v>
      </c>
      <c r="O120" s="37" t="s">
        <v>118</v>
      </c>
      <c r="Q120" s="7">
        <f>IF(D120="","",D120)</f>
        <v>30</v>
      </c>
      <c r="R120" s="7">
        <f>IF(H120="","",H120)</f>
        <v>30</v>
      </c>
      <c r="S120" s="31" t="str">
        <f>IF(R120="","",IF(N(R120)=0,"NÖTR",IF(Q120="","TEKRAR",IF(ROUND(Q120-R120,2)&gt;=0,"ONAYLANDI","TEKRAR"))))</f>
        <v>ONAYLANDI</v>
      </c>
      <c r="T120" s="8">
        <f>IF(OR(Q120="",R120=""),"",ROUND(Q120-R120,2))</f>
        <v>0</v>
      </c>
      <c r="U120" s="9"/>
    </row>
    <row r="121" spans="1:21" ht="30" x14ac:dyDescent="0.25">
      <c r="A121" s="4" t="s">
        <v>326</v>
      </c>
      <c r="B121" s="4" t="s">
        <v>327</v>
      </c>
      <c r="C121" s="5" t="s">
        <v>57</v>
      </c>
      <c r="D121" s="6">
        <v>17</v>
      </c>
      <c r="E121" s="4" t="s">
        <v>78</v>
      </c>
      <c r="F121" s="4" t="s">
        <v>328</v>
      </c>
      <c r="H121" s="35">
        <v>17</v>
      </c>
      <c r="I121" s="36" t="s">
        <v>57</v>
      </c>
      <c r="J121" s="4" t="s">
        <v>326</v>
      </c>
      <c r="K121" s="36">
        <v>4033254</v>
      </c>
      <c r="L121" s="4"/>
      <c r="M121" s="4" t="s">
        <v>78</v>
      </c>
      <c r="N121" s="37" t="s">
        <v>39</v>
      </c>
      <c r="O121" s="37"/>
      <c r="Q121" s="7">
        <f>IF(D121="","",D121)</f>
        <v>17</v>
      </c>
      <c r="R121" s="7">
        <f>IF(H121="","",H121)</f>
        <v>17</v>
      </c>
      <c r="S121" s="31" t="str">
        <f>IF(R121="","",IF(N(R121)=0,"NÖTR",IF(Q121="","TEKRAR",IF(ROUND(Q121-R121,2)&gt;=0,"ONAYLANDI","TEKRAR"))))</f>
        <v>ONAYLANDI</v>
      </c>
      <c r="T121" s="8">
        <f>IF(OR(Q121="",R121=""),"",ROUND(Q121-R121,2))</f>
        <v>0</v>
      </c>
      <c r="U121" s="9"/>
    </row>
    <row r="122" spans="1:21" ht="60" x14ac:dyDescent="0.25">
      <c r="A122" s="4" t="s">
        <v>329</v>
      </c>
      <c r="B122" s="4" t="s">
        <v>330</v>
      </c>
      <c r="C122" s="5" t="s">
        <v>331</v>
      </c>
      <c r="D122" s="6">
        <v>542</v>
      </c>
      <c r="E122" s="4" t="s">
        <v>78</v>
      </c>
      <c r="F122" s="4" t="s">
        <v>332</v>
      </c>
      <c r="H122" s="4">
        <v>547</v>
      </c>
      <c r="I122" s="36" t="s">
        <v>331</v>
      </c>
      <c r="J122" s="4" t="s">
        <v>656</v>
      </c>
      <c r="K122" s="36">
        <v>9040001</v>
      </c>
      <c r="L122" s="4"/>
      <c r="M122" s="4"/>
      <c r="N122" s="37" t="s">
        <v>609</v>
      </c>
      <c r="O122" s="37" t="s">
        <v>333</v>
      </c>
      <c r="Q122" s="7">
        <f>IF(D122="","",D122)</f>
        <v>542</v>
      </c>
      <c r="R122" s="7">
        <f>IF(H122="","",H122)</f>
        <v>547</v>
      </c>
      <c r="S122" s="31" t="str">
        <f>IF(R122="","",IF(N(R122)=0,"NÖTR",IF(Q122="","TEKRAR",IF(ROUND(Q122-R122,2)&gt;=0,"ONAYLANDI","TEKRAR"))))</f>
        <v>TEKRAR</v>
      </c>
      <c r="T122" s="8">
        <f>IF(OR(Q122="",R122=""),"",ROUND(Q122-R122,2))</f>
        <v>-5</v>
      </c>
      <c r="U122" s="9"/>
    </row>
    <row r="123" spans="1:21" ht="60" x14ac:dyDescent="0.25">
      <c r="A123" s="4" t="s">
        <v>334</v>
      </c>
      <c r="B123" s="4" t="s">
        <v>335</v>
      </c>
      <c r="C123" s="5" t="s">
        <v>331</v>
      </c>
      <c r="D123" s="6">
        <v>36</v>
      </c>
      <c r="E123" s="4" t="s">
        <v>78</v>
      </c>
      <c r="F123" s="4" t="s">
        <v>332</v>
      </c>
      <c r="H123" s="4">
        <v>34</v>
      </c>
      <c r="I123" s="36" t="s">
        <v>331</v>
      </c>
      <c r="J123" s="4" t="s">
        <v>657</v>
      </c>
      <c r="K123" s="36">
        <v>9040002</v>
      </c>
      <c r="L123" s="4"/>
      <c r="M123" s="4"/>
      <c r="N123" s="37" t="s">
        <v>609</v>
      </c>
      <c r="O123" s="37" t="s">
        <v>333</v>
      </c>
      <c r="Q123" s="7">
        <f>IF(D123="","",D123)</f>
        <v>36</v>
      </c>
      <c r="R123" s="7">
        <f>IF(H123="","",H123)</f>
        <v>34</v>
      </c>
      <c r="S123" s="31" t="str">
        <f>IF(R123="","",IF(N(R123)=0,"NÖTR",IF(Q123="","TEKRAR",IF(ROUND(Q123-R123,2)&gt;=0,"ONAYLANDI","TEKRAR"))))</f>
        <v>ONAYLANDI</v>
      </c>
      <c r="T123" s="8">
        <f>IF(OR(Q123="",R123=""),"",ROUND(Q123-R123,2))</f>
        <v>2</v>
      </c>
      <c r="U123" s="9"/>
    </row>
    <row r="124" spans="1:21" ht="45" x14ac:dyDescent="0.25">
      <c r="A124" s="4" t="s">
        <v>336</v>
      </c>
      <c r="B124" s="4" t="s">
        <v>337</v>
      </c>
      <c r="C124" s="5" t="s">
        <v>331</v>
      </c>
      <c r="D124" s="6">
        <v>73</v>
      </c>
      <c r="E124" s="4" t="s">
        <v>78</v>
      </c>
      <c r="F124" s="4" t="s">
        <v>338</v>
      </c>
      <c r="H124" s="4">
        <v>73</v>
      </c>
      <c r="I124" s="36" t="s">
        <v>331</v>
      </c>
      <c r="J124" s="4" t="s">
        <v>339</v>
      </c>
      <c r="K124" s="36"/>
      <c r="L124" s="4"/>
      <c r="M124" s="4"/>
      <c r="N124" s="37" t="s">
        <v>609</v>
      </c>
      <c r="O124" s="37" t="s">
        <v>340</v>
      </c>
      <c r="Q124" s="7">
        <f>IF(D124="","",D124)</f>
        <v>73</v>
      </c>
      <c r="R124" s="7">
        <f>IF(H124="","",H124)</f>
        <v>73</v>
      </c>
      <c r="S124" s="31" t="str">
        <f>IF(R124="","",IF(N(R124)=0,"NÖTR",IF(Q124="","TEKRAR",IF(ROUND(Q124-R124,2)&gt;=0,"ONAYLANDI","TEKRAR"))))</f>
        <v>ONAYLANDI</v>
      </c>
      <c r="T124" s="8">
        <f>IF(OR(Q124="",R124=""),"",ROUND(Q124-R124,2))</f>
        <v>0</v>
      </c>
      <c r="U124" s="9"/>
    </row>
    <row r="125" spans="1:21" ht="30" x14ac:dyDescent="0.25">
      <c r="A125" s="4" t="s">
        <v>341</v>
      </c>
      <c r="B125" s="4" t="s">
        <v>342</v>
      </c>
      <c r="C125" s="5" t="s">
        <v>331</v>
      </c>
      <c r="D125" s="6">
        <v>10</v>
      </c>
      <c r="E125" s="4" t="s">
        <v>78</v>
      </c>
      <c r="F125" s="4" t="s">
        <v>343</v>
      </c>
      <c r="H125" s="4">
        <v>10</v>
      </c>
      <c r="I125" s="36" t="s">
        <v>331</v>
      </c>
      <c r="J125" s="4" t="s">
        <v>344</v>
      </c>
      <c r="K125" s="36"/>
      <c r="L125" s="4"/>
      <c r="M125" s="4"/>
      <c r="N125" s="37" t="s">
        <v>609</v>
      </c>
      <c r="O125" s="37" t="s">
        <v>343</v>
      </c>
      <c r="Q125" s="7">
        <f>IF(D125="","",D125)</f>
        <v>10</v>
      </c>
      <c r="R125" s="7">
        <f>IF(H125="","",H125)</f>
        <v>10</v>
      </c>
      <c r="S125" s="31" t="str">
        <f>IF(R125="","",IF(N(R125)=0,"NÖTR",IF(Q125="","TEKRAR",IF(ROUND(Q125-R125,2)&gt;=0,"ONAYLANDI","TEKRAR"))))</f>
        <v>ONAYLANDI</v>
      </c>
      <c r="T125" s="8">
        <f>IF(OR(Q125="",R125=""),"",ROUND(Q125-R125,2))</f>
        <v>0</v>
      </c>
      <c r="U125" s="9"/>
    </row>
    <row r="126" spans="1:21" ht="60" x14ac:dyDescent="0.25">
      <c r="A126" s="4" t="s">
        <v>345</v>
      </c>
      <c r="B126" s="4" t="s">
        <v>346</v>
      </c>
      <c r="C126" s="5" t="s">
        <v>331</v>
      </c>
      <c r="D126" s="6">
        <v>13</v>
      </c>
      <c r="E126" s="4" t="s">
        <v>78</v>
      </c>
      <c r="F126" s="4" t="s">
        <v>332</v>
      </c>
      <c r="H126" s="4">
        <v>12</v>
      </c>
      <c r="I126" s="36" t="s">
        <v>331</v>
      </c>
      <c r="J126" s="4" t="s">
        <v>658</v>
      </c>
      <c r="K126" s="36">
        <v>9040005</v>
      </c>
      <c r="L126" s="4"/>
      <c r="M126" s="4"/>
      <c r="N126" s="37" t="s">
        <v>609</v>
      </c>
      <c r="O126" s="37" t="s">
        <v>333</v>
      </c>
      <c r="Q126" s="7">
        <f>IF(D126="","",D126)</f>
        <v>13</v>
      </c>
      <c r="R126" s="7">
        <f>IF(H126="","",H126)</f>
        <v>12</v>
      </c>
      <c r="S126" s="31" t="str">
        <f>IF(R126="","",IF(N(R126)=0,"NÖTR",IF(Q126="","TEKRAR",IF(ROUND(Q126-R126,2)&gt;=0,"ONAYLANDI","TEKRAR"))))</f>
        <v>ONAYLANDI</v>
      </c>
      <c r="T126" s="8">
        <f>IF(OR(Q126="",R126=""),"",ROUND(Q126-R126,2))</f>
        <v>1</v>
      </c>
      <c r="U126" s="9"/>
    </row>
    <row r="127" spans="1:21" ht="60" x14ac:dyDescent="0.25">
      <c r="A127" s="4" t="s">
        <v>347</v>
      </c>
      <c r="B127" s="4" t="s">
        <v>348</v>
      </c>
      <c r="C127" s="5" t="s">
        <v>331</v>
      </c>
      <c r="D127" s="6">
        <v>12</v>
      </c>
      <c r="E127" s="4" t="s">
        <v>78</v>
      </c>
      <c r="F127" s="4" t="s">
        <v>349</v>
      </c>
      <c r="H127" s="38">
        <f>8+4+3</f>
        <v>15</v>
      </c>
      <c r="I127" s="39" t="s">
        <v>331</v>
      </c>
      <c r="J127" s="13" t="s">
        <v>347</v>
      </c>
      <c r="K127" s="39">
        <v>9040006</v>
      </c>
      <c r="L127" s="13"/>
      <c r="M127" s="13" t="s">
        <v>78</v>
      </c>
      <c r="N127" s="40" t="s">
        <v>603</v>
      </c>
      <c r="O127" s="40" t="s">
        <v>350</v>
      </c>
      <c r="Q127" s="7">
        <f>IF(D127="","",D127)</f>
        <v>12</v>
      </c>
      <c r="R127" s="7">
        <f>IF(H127="","",H127)</f>
        <v>15</v>
      </c>
      <c r="S127" s="31" t="str">
        <f>IF(R127="","",IF(N(R127)=0,"NÖTR",IF(Q127="","TEKRAR",IF(ROUND(Q127-R127,2)&gt;=0,"ONAYLANDI","TEKRAR"))))</f>
        <v>TEKRAR</v>
      </c>
      <c r="T127" s="8">
        <f>IF(OR(Q127="",R127=""),"",ROUND(Q127-R127,2))</f>
        <v>-3</v>
      </c>
      <c r="U127" s="9"/>
    </row>
    <row r="128" spans="1:21" ht="45" x14ac:dyDescent="0.25">
      <c r="A128" s="4" t="s">
        <v>351</v>
      </c>
      <c r="B128" s="4" t="s">
        <v>352</v>
      </c>
      <c r="C128" s="5" t="s">
        <v>331</v>
      </c>
      <c r="D128" s="6">
        <v>776</v>
      </c>
      <c r="E128" s="4" t="s">
        <v>78</v>
      </c>
      <c r="F128" s="4" t="s">
        <v>353</v>
      </c>
      <c r="H128" s="4">
        <v>767</v>
      </c>
      <c r="I128" s="36" t="s">
        <v>331</v>
      </c>
      <c r="J128" s="4" t="s">
        <v>659</v>
      </c>
      <c r="K128" s="36">
        <v>9040017</v>
      </c>
      <c r="L128" s="4"/>
      <c r="M128" s="4"/>
      <c r="N128" s="37" t="s">
        <v>609</v>
      </c>
      <c r="O128" s="37" t="s">
        <v>354</v>
      </c>
      <c r="Q128" s="7">
        <f>IF(D128="","",D128)</f>
        <v>776</v>
      </c>
      <c r="R128" s="7">
        <f>IF(H128="","",H128)</f>
        <v>767</v>
      </c>
      <c r="S128" s="31" t="str">
        <f>IF(R128="","",IF(N(R128)=0,"NÖTR",IF(Q128="","TEKRAR",IF(ROUND(Q128-R128,2)&gt;=0,"ONAYLANDI","TEKRAR"))))</f>
        <v>ONAYLANDI</v>
      </c>
      <c r="T128" s="8">
        <f>IF(OR(Q128="",R128=""),"",ROUND(Q128-R128,2))</f>
        <v>9</v>
      </c>
      <c r="U128" s="9"/>
    </row>
    <row r="129" spans="1:21" ht="45" x14ac:dyDescent="0.25">
      <c r="A129" s="4" t="s">
        <v>355</v>
      </c>
      <c r="B129" s="4" t="s">
        <v>356</v>
      </c>
      <c r="C129" s="5" t="s">
        <v>331</v>
      </c>
      <c r="D129" s="6">
        <v>114</v>
      </c>
      <c r="E129" s="4" t="s">
        <v>78</v>
      </c>
      <c r="F129" s="4" t="s">
        <v>357</v>
      </c>
      <c r="H129" s="4">
        <v>113</v>
      </c>
      <c r="I129" s="36" t="s">
        <v>331</v>
      </c>
      <c r="J129" s="4" t="s">
        <v>660</v>
      </c>
      <c r="K129" s="36">
        <v>9040018</v>
      </c>
      <c r="L129" s="4"/>
      <c r="M129" s="4"/>
      <c r="N129" s="37" t="s">
        <v>609</v>
      </c>
      <c r="O129" s="37" t="s">
        <v>358</v>
      </c>
      <c r="Q129" s="7">
        <f>IF(D129="","",D129)</f>
        <v>114</v>
      </c>
      <c r="R129" s="7">
        <f>IF(H129="","",H129)</f>
        <v>113</v>
      </c>
      <c r="S129" s="31" t="str">
        <f>IF(R129="","",IF(N(R129)=0,"NÖTR",IF(Q129="","TEKRAR",IF(ROUND(Q129-R129,2)&gt;=0,"ONAYLANDI","TEKRAR"))))</f>
        <v>ONAYLANDI</v>
      </c>
      <c r="T129" s="8">
        <f>IF(OR(Q129="",R129=""),"",ROUND(Q129-R129,2))</f>
        <v>1</v>
      </c>
      <c r="U129" s="9"/>
    </row>
    <row r="130" spans="1:21" ht="60" x14ac:dyDescent="0.25">
      <c r="A130" s="4" t="s">
        <v>359</v>
      </c>
      <c r="B130" s="4" t="s">
        <v>360</v>
      </c>
      <c r="C130" s="5" t="s">
        <v>331</v>
      </c>
      <c r="D130" s="6">
        <v>118</v>
      </c>
      <c r="E130" s="4" t="s">
        <v>78</v>
      </c>
      <c r="F130" s="4" t="s">
        <v>332</v>
      </c>
      <c r="H130" s="4">
        <v>112</v>
      </c>
      <c r="I130" s="36" t="s">
        <v>331</v>
      </c>
      <c r="J130" s="4" t="s">
        <v>361</v>
      </c>
      <c r="K130" s="36"/>
      <c r="L130" s="4"/>
      <c r="M130" s="4"/>
      <c r="N130" s="37" t="s">
        <v>609</v>
      </c>
      <c r="O130" s="37" t="s">
        <v>333</v>
      </c>
      <c r="Q130" s="7">
        <f>IF(D130="","",D130)</f>
        <v>118</v>
      </c>
      <c r="R130" s="7">
        <f>IF(H130="","",H130)</f>
        <v>112</v>
      </c>
      <c r="S130" s="31" t="str">
        <f>IF(R130="","",IF(N(R130)=0,"NÖTR",IF(Q130="","TEKRAR",IF(ROUND(Q130-R130,2)&gt;=0,"ONAYLANDI","TEKRAR"))))</f>
        <v>ONAYLANDI</v>
      </c>
      <c r="T130" s="8">
        <f>IF(OR(Q130="",R130=""),"",ROUND(Q130-R130,2))</f>
        <v>6</v>
      </c>
      <c r="U130" s="9"/>
    </row>
    <row r="131" spans="1:21" ht="30" x14ac:dyDescent="0.25">
      <c r="A131" s="4" t="s">
        <v>362</v>
      </c>
      <c r="B131" s="4" t="s">
        <v>363</v>
      </c>
      <c r="C131" s="5" t="s">
        <v>331</v>
      </c>
      <c r="D131" s="6">
        <v>83</v>
      </c>
      <c r="E131" s="4" t="s">
        <v>78</v>
      </c>
      <c r="F131" s="4" t="s">
        <v>364</v>
      </c>
      <c r="H131" s="4">
        <v>83</v>
      </c>
      <c r="I131" s="36" t="s">
        <v>331</v>
      </c>
      <c r="J131" s="4" t="s">
        <v>661</v>
      </c>
      <c r="K131" s="36">
        <v>9040020</v>
      </c>
      <c r="L131" s="4"/>
      <c r="M131" s="4"/>
      <c r="N131" s="37" t="s">
        <v>609</v>
      </c>
      <c r="O131" s="37" t="s">
        <v>354</v>
      </c>
      <c r="Q131" s="7">
        <f>IF(D131="","",D131)</f>
        <v>83</v>
      </c>
      <c r="R131" s="7">
        <f>IF(H131="","",H131)</f>
        <v>83</v>
      </c>
      <c r="S131" s="31" t="str">
        <f>IF(R131="","",IF(N(R131)=0,"NÖTR",IF(Q131="","TEKRAR",IF(ROUND(Q131-R131,2)&gt;=0,"ONAYLANDI","TEKRAR"))))</f>
        <v>ONAYLANDI</v>
      </c>
      <c r="T131" s="8">
        <f>IF(OR(Q131="",R131=""),"",ROUND(Q131-R131,2))</f>
        <v>0</v>
      </c>
      <c r="U131" s="9"/>
    </row>
    <row r="132" spans="1:21" ht="60" x14ac:dyDescent="0.25">
      <c r="A132" s="4" t="s">
        <v>365</v>
      </c>
      <c r="B132" s="4" t="s">
        <v>366</v>
      </c>
      <c r="C132" s="5" t="s">
        <v>331</v>
      </c>
      <c r="D132" s="6">
        <v>24</v>
      </c>
      <c r="E132" s="4" t="s">
        <v>78</v>
      </c>
      <c r="F132" s="4" t="s">
        <v>332</v>
      </c>
      <c r="H132" s="4">
        <v>23</v>
      </c>
      <c r="I132" s="36" t="s">
        <v>331</v>
      </c>
      <c r="J132" s="4" t="s">
        <v>662</v>
      </c>
      <c r="K132" s="36">
        <v>9040021</v>
      </c>
      <c r="L132" s="4"/>
      <c r="M132" s="4"/>
      <c r="N132" s="37" t="s">
        <v>609</v>
      </c>
      <c r="O132" s="37" t="s">
        <v>333</v>
      </c>
      <c r="Q132" s="7">
        <f>IF(D132="","",D132)</f>
        <v>24</v>
      </c>
      <c r="R132" s="7">
        <f>IF(H132="","",H132)</f>
        <v>23</v>
      </c>
      <c r="S132" s="31" t="str">
        <f>IF(R132="","",IF(N(R132)=0,"NÖTR",IF(Q132="","TEKRAR",IF(ROUND(Q132-R132,2)&gt;=0,"ONAYLANDI","TEKRAR"))))</f>
        <v>ONAYLANDI</v>
      </c>
      <c r="T132" s="8">
        <f>IF(OR(Q132="",R132=""),"",ROUND(Q132-R132,2))</f>
        <v>1</v>
      </c>
      <c r="U132" s="9"/>
    </row>
    <row r="133" spans="1:21" ht="45" x14ac:dyDescent="0.25">
      <c r="A133" s="4" t="s">
        <v>367</v>
      </c>
      <c r="B133" s="4" t="s">
        <v>368</v>
      </c>
      <c r="C133" s="5" t="s">
        <v>331</v>
      </c>
      <c r="D133" s="6">
        <v>141</v>
      </c>
      <c r="E133" s="4" t="s">
        <v>78</v>
      </c>
      <c r="F133" s="4" t="s">
        <v>353</v>
      </c>
      <c r="H133" s="4">
        <v>141</v>
      </c>
      <c r="I133" s="36" t="s">
        <v>331</v>
      </c>
      <c r="J133" s="4" t="s">
        <v>369</v>
      </c>
      <c r="K133" s="36"/>
      <c r="L133" s="4"/>
      <c r="M133" s="4"/>
      <c r="N133" s="37" t="s">
        <v>609</v>
      </c>
      <c r="O133" s="37" t="s">
        <v>370</v>
      </c>
      <c r="Q133" s="7">
        <f>IF(D133="","",D133)</f>
        <v>141</v>
      </c>
      <c r="R133" s="7">
        <f>IF(H133="","",H133)</f>
        <v>141</v>
      </c>
      <c r="S133" s="31" t="str">
        <f>IF(R133="","",IF(N(R133)=0,"NÖTR",IF(Q133="","TEKRAR",IF(ROUND(Q133-R133,2)&gt;=0,"ONAYLANDI","TEKRAR"))))</f>
        <v>ONAYLANDI</v>
      </c>
      <c r="T133" s="8">
        <f>IF(OR(Q133="",R133=""),"",ROUND(Q133-R133,2))</f>
        <v>0</v>
      </c>
      <c r="U133" s="9"/>
    </row>
    <row r="134" spans="1:21" ht="75" x14ac:dyDescent="0.25">
      <c r="A134" s="4" t="s">
        <v>371</v>
      </c>
      <c r="B134" s="4" t="s">
        <v>372</v>
      </c>
      <c r="C134" s="5" t="s">
        <v>331</v>
      </c>
      <c r="D134" s="6">
        <v>375</v>
      </c>
      <c r="E134" s="4" t="s">
        <v>78</v>
      </c>
      <c r="F134" s="4" t="s">
        <v>373</v>
      </c>
      <c r="H134" s="4">
        <v>365</v>
      </c>
      <c r="I134" s="36" t="s">
        <v>331</v>
      </c>
      <c r="J134" s="4" t="s">
        <v>374</v>
      </c>
      <c r="K134" s="36"/>
      <c r="L134" s="4"/>
      <c r="M134" s="4"/>
      <c r="N134" s="37" t="s">
        <v>609</v>
      </c>
      <c r="O134" s="37" t="s">
        <v>375</v>
      </c>
      <c r="Q134" s="7">
        <f>IF(D134="","",D134)</f>
        <v>375</v>
      </c>
      <c r="R134" s="7">
        <f>IF(H134="","",H134)</f>
        <v>365</v>
      </c>
      <c r="S134" s="31" t="str">
        <f>IF(R134="","",IF(N(R134)=0,"NÖTR",IF(Q134="","TEKRAR",IF(ROUND(Q134-R134,2)&gt;=0,"ONAYLANDI","TEKRAR"))))</f>
        <v>ONAYLANDI</v>
      </c>
      <c r="T134" s="8">
        <f>IF(OR(Q134="",R134=""),"",ROUND(Q134-R134,2))</f>
        <v>10</v>
      </c>
      <c r="U134" s="9"/>
    </row>
    <row r="135" spans="1:21" ht="45" x14ac:dyDescent="0.25">
      <c r="A135" s="4" t="s">
        <v>376</v>
      </c>
      <c r="B135" s="4" t="s">
        <v>377</v>
      </c>
      <c r="C135" s="5" t="s">
        <v>331</v>
      </c>
      <c r="D135" s="6">
        <v>1</v>
      </c>
      <c r="E135" s="4" t="s">
        <v>78</v>
      </c>
      <c r="F135" s="4" t="s">
        <v>338</v>
      </c>
      <c r="H135" s="4">
        <v>1</v>
      </c>
      <c r="I135" s="36" t="s">
        <v>331</v>
      </c>
      <c r="J135" s="4" t="s">
        <v>663</v>
      </c>
      <c r="K135" s="36">
        <v>9140003</v>
      </c>
      <c r="L135" s="4"/>
      <c r="M135" s="4"/>
      <c r="N135" s="37" t="s">
        <v>609</v>
      </c>
      <c r="O135" s="37" t="s">
        <v>340</v>
      </c>
      <c r="Q135" s="7">
        <f>IF(D135="","",D135)</f>
        <v>1</v>
      </c>
      <c r="R135" s="7">
        <f>IF(H135="","",H135)</f>
        <v>1</v>
      </c>
      <c r="S135" s="31" t="str">
        <f>IF(R135="","",IF(N(R135)=0,"NÖTR",IF(Q135="","TEKRAR",IF(ROUND(Q135-R135,2)&gt;=0,"ONAYLANDI","TEKRAR"))))</f>
        <v>ONAYLANDI</v>
      </c>
      <c r="T135" s="8">
        <f>IF(OR(Q135="",R135=""),"",ROUND(Q135-R135,2))</f>
        <v>0</v>
      </c>
      <c r="U135" s="9"/>
    </row>
    <row r="136" spans="1:21" ht="45" x14ac:dyDescent="0.25">
      <c r="A136" s="4" t="s">
        <v>378</v>
      </c>
      <c r="B136" s="4" t="s">
        <v>379</v>
      </c>
      <c r="C136" s="5" t="s">
        <v>331</v>
      </c>
      <c r="D136" s="6">
        <v>1</v>
      </c>
      <c r="E136" s="4" t="s">
        <v>78</v>
      </c>
      <c r="F136" s="4" t="s">
        <v>343</v>
      </c>
      <c r="H136" s="4">
        <v>1</v>
      </c>
      <c r="I136" s="36" t="s">
        <v>331</v>
      </c>
      <c r="J136" s="4" t="s">
        <v>664</v>
      </c>
      <c r="K136" s="36">
        <v>9140037</v>
      </c>
      <c r="L136" s="4"/>
      <c r="M136" s="4"/>
      <c r="N136" s="37" t="s">
        <v>609</v>
      </c>
      <c r="O136" s="37" t="s">
        <v>343</v>
      </c>
      <c r="Q136" s="7">
        <f>IF(D136="","",D136)</f>
        <v>1</v>
      </c>
      <c r="R136" s="7">
        <f>IF(H136="","",H136)</f>
        <v>1</v>
      </c>
      <c r="S136" s="31" t="str">
        <f>IF(R136="","",IF(N(R136)=0,"NÖTR",IF(Q136="","TEKRAR",IF(ROUND(Q136-R136,2)&gt;=0,"ONAYLANDI","TEKRAR"))))</f>
        <v>ONAYLANDI</v>
      </c>
      <c r="T136" s="8">
        <f>IF(OR(Q136="",R136=""),"",ROUND(Q136-R136,2))</f>
        <v>0</v>
      </c>
      <c r="U136" s="9"/>
    </row>
    <row r="137" spans="1:21" ht="75" x14ac:dyDescent="0.25">
      <c r="A137" s="4" t="s">
        <v>380</v>
      </c>
      <c r="B137" s="4" t="s">
        <v>381</v>
      </c>
      <c r="C137" s="5" t="s">
        <v>331</v>
      </c>
      <c r="D137" s="6">
        <v>24</v>
      </c>
      <c r="E137" s="4" t="s">
        <v>78</v>
      </c>
      <c r="F137" s="4" t="s">
        <v>373</v>
      </c>
      <c r="H137" s="4">
        <v>23</v>
      </c>
      <c r="I137" s="36" t="s">
        <v>331</v>
      </c>
      <c r="J137" s="4" t="s">
        <v>665</v>
      </c>
      <c r="K137" s="36">
        <v>9140038</v>
      </c>
      <c r="L137" s="4"/>
      <c r="M137" s="4"/>
      <c r="N137" s="37" t="s">
        <v>609</v>
      </c>
      <c r="O137" s="37" t="s">
        <v>382</v>
      </c>
      <c r="Q137" s="7">
        <f>IF(D137="","",D137)</f>
        <v>24</v>
      </c>
      <c r="R137" s="7">
        <f>IF(H137="","",H137)</f>
        <v>23</v>
      </c>
      <c r="S137" s="31" t="str">
        <f>IF(R137="","",IF(N(R137)=0,"NÖTR",IF(Q137="","TEKRAR",IF(ROUND(Q137-R137,2)&gt;=0,"ONAYLANDI","TEKRAR"))))</f>
        <v>ONAYLANDI</v>
      </c>
      <c r="T137" s="8">
        <f>IF(OR(Q137="",R137=""),"",ROUND(Q137-R137,2))</f>
        <v>1</v>
      </c>
      <c r="U137" s="9"/>
    </row>
    <row r="138" spans="1:21" ht="45" x14ac:dyDescent="0.25">
      <c r="A138" s="4" t="s">
        <v>383</v>
      </c>
      <c r="B138" s="4" t="s">
        <v>384</v>
      </c>
      <c r="C138" s="5" t="s">
        <v>331</v>
      </c>
      <c r="D138" s="6">
        <v>1</v>
      </c>
      <c r="E138" s="4" t="s">
        <v>78</v>
      </c>
      <c r="F138" s="4" t="s">
        <v>338</v>
      </c>
      <c r="H138" s="4">
        <v>1</v>
      </c>
      <c r="I138" s="36" t="s">
        <v>331</v>
      </c>
      <c r="J138" s="4" t="s">
        <v>666</v>
      </c>
      <c r="K138" s="36">
        <v>9140039</v>
      </c>
      <c r="L138" s="4"/>
      <c r="M138" s="4"/>
      <c r="N138" s="37" t="s">
        <v>609</v>
      </c>
      <c r="O138" s="37" t="s">
        <v>340</v>
      </c>
      <c r="Q138" s="7">
        <f>IF(D138="","",D138)</f>
        <v>1</v>
      </c>
      <c r="R138" s="7">
        <f>IF(H138="","",H138)</f>
        <v>1</v>
      </c>
      <c r="S138" s="31" t="str">
        <f>IF(R138="","",IF(N(R138)=0,"NÖTR",IF(Q138="","TEKRAR",IF(ROUND(Q138-R138,2)&gt;=0,"ONAYLANDI","TEKRAR"))))</f>
        <v>ONAYLANDI</v>
      </c>
      <c r="T138" s="8">
        <f>IF(OR(Q138="",R138=""),"",ROUND(Q138-R138,2))</f>
        <v>0</v>
      </c>
      <c r="U138" s="9"/>
    </row>
    <row r="139" spans="1:21" ht="60" x14ac:dyDescent="0.25">
      <c r="A139" s="4" t="s">
        <v>385</v>
      </c>
      <c r="B139" s="4" t="s">
        <v>386</v>
      </c>
      <c r="C139" s="5" t="s">
        <v>331</v>
      </c>
      <c r="D139" s="6">
        <v>14</v>
      </c>
      <c r="E139" s="4" t="s">
        <v>78</v>
      </c>
      <c r="F139" s="4" t="s">
        <v>387</v>
      </c>
      <c r="H139" s="38">
        <f>8+3+3</f>
        <v>14</v>
      </c>
      <c r="I139" s="39" t="s">
        <v>331</v>
      </c>
      <c r="J139" s="13" t="s">
        <v>385</v>
      </c>
      <c r="K139" s="39">
        <v>9140040</v>
      </c>
      <c r="L139" s="13" t="s">
        <v>388</v>
      </c>
      <c r="M139" s="13" t="s">
        <v>78</v>
      </c>
      <c r="N139" s="40" t="s">
        <v>603</v>
      </c>
      <c r="O139" s="40" t="s">
        <v>389</v>
      </c>
      <c r="Q139" s="7">
        <f>IF(D139="","",D139)</f>
        <v>14</v>
      </c>
      <c r="R139" s="7">
        <f>IF(H139="","",H139)</f>
        <v>14</v>
      </c>
      <c r="S139" s="31" t="str">
        <f>IF(R139="","",IF(N(R139)=0,"NÖTR",IF(Q139="","TEKRAR",IF(ROUND(Q139-R139,2)&gt;=0,"ONAYLANDI","TEKRAR"))))</f>
        <v>ONAYLANDI</v>
      </c>
      <c r="T139" s="8">
        <f>IF(OR(Q139="",R139=""),"",ROUND(Q139-R139,2))</f>
        <v>0</v>
      </c>
      <c r="U139" s="9"/>
    </row>
    <row r="140" spans="1:21" ht="60" x14ac:dyDescent="0.25">
      <c r="A140" s="4" t="s">
        <v>390</v>
      </c>
      <c r="B140" s="4" t="s">
        <v>391</v>
      </c>
      <c r="C140" s="5" t="s">
        <v>20</v>
      </c>
      <c r="D140" s="6">
        <v>4</v>
      </c>
      <c r="E140" s="4" t="s">
        <v>78</v>
      </c>
      <c r="F140" s="4" t="s">
        <v>392</v>
      </c>
      <c r="H140" s="35">
        <v>4</v>
      </c>
      <c r="I140" s="36" t="s">
        <v>20</v>
      </c>
      <c r="J140" s="4" t="s">
        <v>390</v>
      </c>
      <c r="K140" s="36">
        <v>9140041</v>
      </c>
      <c r="L140" s="4"/>
      <c r="M140" s="4" t="s">
        <v>78</v>
      </c>
      <c r="N140" s="37" t="s">
        <v>393</v>
      </c>
      <c r="O140" s="37"/>
      <c r="Q140" s="7">
        <f>IF(D140="","",D140)</f>
        <v>4</v>
      </c>
      <c r="R140" s="7">
        <f>IF(H140="","",H140)</f>
        <v>4</v>
      </c>
      <c r="S140" s="31" t="str">
        <f>IF(R140="","",IF(N(R140)=0,"NÖTR",IF(Q140="","TEKRAR",IF(ROUND(Q140-R140,2)&gt;=0,"ONAYLANDI","TEKRAR"))))</f>
        <v>ONAYLANDI</v>
      </c>
      <c r="T140" s="8">
        <f>IF(OR(Q140="",R140=""),"",ROUND(Q140-R140,2))</f>
        <v>0</v>
      </c>
      <c r="U140" s="9"/>
    </row>
    <row r="141" spans="1:21" ht="60" x14ac:dyDescent="0.25">
      <c r="A141" s="4" t="s">
        <v>394</v>
      </c>
      <c r="B141" s="4" t="s">
        <v>395</v>
      </c>
      <c r="C141" s="5" t="s">
        <v>331</v>
      </c>
      <c r="D141" s="6">
        <v>4</v>
      </c>
      <c r="E141" s="4" t="s">
        <v>78</v>
      </c>
      <c r="F141" s="4" t="s">
        <v>396</v>
      </c>
      <c r="H141" s="35">
        <f>3+1</f>
        <v>4</v>
      </c>
      <c r="I141" s="36" t="s">
        <v>331</v>
      </c>
      <c r="J141" s="4" t="s">
        <v>394</v>
      </c>
      <c r="K141" s="36">
        <v>9140074</v>
      </c>
      <c r="L141" s="4"/>
      <c r="M141" s="4" t="s">
        <v>78</v>
      </c>
      <c r="N141" s="37" t="s">
        <v>604</v>
      </c>
      <c r="O141" s="37" t="s">
        <v>340</v>
      </c>
      <c r="Q141" s="7">
        <f>IF(D141="","",D141)</f>
        <v>4</v>
      </c>
      <c r="R141" s="7">
        <f>IF(H141="","",H141)</f>
        <v>4</v>
      </c>
      <c r="S141" s="31" t="str">
        <f>IF(R141="","",IF(N(R141)=0,"NÖTR",IF(Q141="","TEKRAR",IF(ROUND(Q141-R141,2)&gt;=0,"ONAYLANDI","TEKRAR"))))</f>
        <v>ONAYLANDI</v>
      </c>
      <c r="T141" s="8">
        <f>IF(OR(Q141="",R141=""),"",ROUND(Q141-R141,2))</f>
        <v>0</v>
      </c>
      <c r="U141" s="9"/>
    </row>
    <row r="142" spans="1:21" ht="60" x14ac:dyDescent="0.25">
      <c r="A142" s="4" t="s">
        <v>397</v>
      </c>
      <c r="B142" s="4" t="s">
        <v>398</v>
      </c>
      <c r="C142" s="5" t="s">
        <v>331</v>
      </c>
      <c r="D142" s="6">
        <v>7</v>
      </c>
      <c r="E142" s="4" t="s">
        <v>78</v>
      </c>
      <c r="F142" s="4" t="s">
        <v>399</v>
      </c>
      <c r="H142" s="35">
        <f>2+4</f>
        <v>6</v>
      </c>
      <c r="I142" s="36" t="s">
        <v>331</v>
      </c>
      <c r="J142" s="4" t="s">
        <v>397</v>
      </c>
      <c r="K142" s="36">
        <v>9140075</v>
      </c>
      <c r="L142" s="4"/>
      <c r="M142" s="4" t="s">
        <v>78</v>
      </c>
      <c r="N142" s="37" t="s">
        <v>604</v>
      </c>
      <c r="O142" s="37" t="s">
        <v>400</v>
      </c>
      <c r="Q142" s="7">
        <f>IF(D142="","",D142)</f>
        <v>7</v>
      </c>
      <c r="R142" s="7">
        <f>IF(H142="","",H142)</f>
        <v>6</v>
      </c>
      <c r="S142" s="31" t="str">
        <f>IF(R142="","",IF(N(R142)=0,"NÖTR",IF(Q142="","TEKRAR",IF(ROUND(Q142-R142,2)&gt;=0,"ONAYLANDI","TEKRAR"))))</f>
        <v>ONAYLANDI</v>
      </c>
      <c r="T142" s="8">
        <f>IF(OR(Q142="",R142=""),"",ROUND(Q142-R142,2))</f>
        <v>1</v>
      </c>
      <c r="U142" s="9"/>
    </row>
    <row r="143" spans="1:21" ht="60" x14ac:dyDescent="0.25">
      <c r="A143" s="4" t="s">
        <v>401</v>
      </c>
      <c r="B143" s="4" t="s">
        <v>402</v>
      </c>
      <c r="C143" s="5" t="s">
        <v>20</v>
      </c>
      <c r="D143" s="6">
        <v>5</v>
      </c>
      <c r="E143" s="4" t="s">
        <v>78</v>
      </c>
      <c r="F143" s="4" t="s">
        <v>392</v>
      </c>
      <c r="H143" s="35">
        <v>5</v>
      </c>
      <c r="I143" s="36" t="s">
        <v>20</v>
      </c>
      <c r="J143" s="4" t="s">
        <v>401</v>
      </c>
      <c r="K143" s="36">
        <v>9140076</v>
      </c>
      <c r="L143" s="4"/>
      <c r="M143" s="4" t="s">
        <v>78</v>
      </c>
      <c r="N143" s="37" t="s">
        <v>393</v>
      </c>
      <c r="O143" s="37"/>
      <c r="Q143" s="7">
        <f>IF(D143="","",D143)</f>
        <v>5</v>
      </c>
      <c r="R143" s="7">
        <f>IF(H143="","",H143)</f>
        <v>5</v>
      </c>
      <c r="S143" s="31" t="str">
        <f>IF(R143="","",IF(N(R143)=0,"NÖTR",IF(Q143="","TEKRAR",IF(ROUND(Q143-R143,2)&gt;=0,"ONAYLANDI","TEKRAR"))))</f>
        <v>ONAYLANDI</v>
      </c>
      <c r="T143" s="8">
        <f>IF(OR(Q143="",R143=""),"",ROUND(Q143-R143,2))</f>
        <v>0</v>
      </c>
      <c r="U143" s="9"/>
    </row>
    <row r="144" spans="1:21" ht="60" x14ac:dyDescent="0.25">
      <c r="A144" s="4" t="s">
        <v>403</v>
      </c>
      <c r="B144" s="4" t="s">
        <v>404</v>
      </c>
      <c r="C144" s="5" t="s">
        <v>331</v>
      </c>
      <c r="D144" s="6">
        <v>2</v>
      </c>
      <c r="E144" s="4" t="s">
        <v>78</v>
      </c>
      <c r="F144" s="4" t="s">
        <v>396</v>
      </c>
      <c r="H144" s="35">
        <f>1+1</f>
        <v>2</v>
      </c>
      <c r="I144" s="36" t="s">
        <v>331</v>
      </c>
      <c r="J144" s="4" t="s">
        <v>403</v>
      </c>
      <c r="K144" s="36">
        <v>9140077</v>
      </c>
      <c r="L144" s="4"/>
      <c r="M144" s="4" t="s">
        <v>78</v>
      </c>
      <c r="N144" s="37" t="s">
        <v>604</v>
      </c>
      <c r="O144" s="37" t="s">
        <v>340</v>
      </c>
      <c r="Q144" s="7">
        <f>IF(D144="","",D144)</f>
        <v>2</v>
      </c>
      <c r="R144" s="7">
        <f>IF(H144="","",H144)</f>
        <v>2</v>
      </c>
      <c r="S144" s="31" t="str">
        <f>IF(R144="","",IF(N(R144)=0,"NÖTR",IF(Q144="","TEKRAR",IF(ROUND(Q144-R144,2)&gt;=0,"ONAYLANDI","TEKRAR"))))</f>
        <v>ONAYLANDI</v>
      </c>
      <c r="T144" s="8">
        <f>IF(OR(Q144="",R144=""),"",ROUND(Q144-R144,2))</f>
        <v>0</v>
      </c>
      <c r="U144" s="9"/>
    </row>
    <row r="145" spans="1:21" ht="60" x14ac:dyDescent="0.25">
      <c r="A145" s="4" t="s">
        <v>405</v>
      </c>
      <c r="B145" s="4" t="s">
        <v>406</v>
      </c>
      <c r="C145" s="5" t="s">
        <v>20</v>
      </c>
      <c r="D145" s="6">
        <v>18</v>
      </c>
      <c r="E145" s="4" t="s">
        <v>78</v>
      </c>
      <c r="F145" s="4" t="s">
        <v>392</v>
      </c>
      <c r="H145" s="35">
        <v>18</v>
      </c>
      <c r="I145" s="36" t="s">
        <v>20</v>
      </c>
      <c r="J145" s="4" t="s">
        <v>405</v>
      </c>
      <c r="K145" s="36">
        <v>9140078</v>
      </c>
      <c r="L145" s="4"/>
      <c r="M145" s="4" t="s">
        <v>78</v>
      </c>
      <c r="N145" s="37" t="s">
        <v>393</v>
      </c>
      <c r="O145" s="37"/>
      <c r="Q145" s="7">
        <f>IF(D145="","",D145)</f>
        <v>18</v>
      </c>
      <c r="R145" s="7">
        <f>IF(H145="","",H145)</f>
        <v>18</v>
      </c>
      <c r="S145" s="31" t="str">
        <f>IF(R145="","",IF(N(R145)=0,"NÖTR",IF(Q145="","TEKRAR",IF(ROUND(Q145-R145,2)&gt;=0,"ONAYLANDI","TEKRAR"))))</f>
        <v>ONAYLANDI</v>
      </c>
      <c r="T145" s="8">
        <f>IF(OR(Q145="",R145=""),"",ROUND(Q145-R145,2))</f>
        <v>0</v>
      </c>
      <c r="U145" s="9"/>
    </row>
    <row r="146" spans="1:21" ht="60" x14ac:dyDescent="0.25">
      <c r="A146" s="4" t="s">
        <v>407</v>
      </c>
      <c r="B146" s="4" t="s">
        <v>408</v>
      </c>
      <c r="C146" s="5" t="s">
        <v>20</v>
      </c>
      <c r="D146" s="6">
        <v>3</v>
      </c>
      <c r="E146" s="4" t="s">
        <v>78</v>
      </c>
      <c r="F146" s="4" t="s">
        <v>392</v>
      </c>
      <c r="H146" s="35">
        <v>3</v>
      </c>
      <c r="I146" s="36" t="s">
        <v>20</v>
      </c>
      <c r="J146" s="4" t="s">
        <v>407</v>
      </c>
      <c r="K146" s="36">
        <v>9140080</v>
      </c>
      <c r="L146" s="4"/>
      <c r="M146" s="4" t="s">
        <v>78</v>
      </c>
      <c r="N146" s="37" t="s">
        <v>393</v>
      </c>
      <c r="O146" s="37"/>
      <c r="Q146" s="7">
        <f>IF(D146="","",D146)</f>
        <v>3</v>
      </c>
      <c r="R146" s="7">
        <f>IF(H146="","",H146)</f>
        <v>3</v>
      </c>
      <c r="S146" s="31" t="str">
        <f>IF(R146="","",IF(N(R146)=0,"NÖTR",IF(Q146="","TEKRAR",IF(ROUND(Q146-R146,2)&gt;=0,"ONAYLANDI","TEKRAR"))))</f>
        <v>ONAYLANDI</v>
      </c>
      <c r="T146" s="8">
        <f>IF(OR(Q146="",R146=""),"",ROUND(Q146-R146,2))</f>
        <v>0</v>
      </c>
      <c r="U146" s="9"/>
    </row>
    <row r="147" spans="1:21" ht="45" x14ac:dyDescent="0.25">
      <c r="A147" s="4" t="s">
        <v>409</v>
      </c>
      <c r="B147" s="4" t="s">
        <v>410</v>
      </c>
      <c r="C147" s="5" t="s">
        <v>331</v>
      </c>
      <c r="D147" s="6">
        <v>2</v>
      </c>
      <c r="E147" s="4" t="s">
        <v>78</v>
      </c>
      <c r="F147" s="4" t="s">
        <v>338</v>
      </c>
      <c r="H147" s="4">
        <v>2</v>
      </c>
      <c r="I147" s="36" t="s">
        <v>331</v>
      </c>
      <c r="J147" s="4" t="s">
        <v>667</v>
      </c>
      <c r="K147" s="36">
        <v>9140110</v>
      </c>
      <c r="L147" s="4"/>
      <c r="M147" s="4"/>
      <c r="N147" s="37" t="s">
        <v>609</v>
      </c>
      <c r="O147" s="37" t="s">
        <v>340</v>
      </c>
      <c r="Q147" s="7">
        <f>IF(D147="","",D147)</f>
        <v>2</v>
      </c>
      <c r="R147" s="7">
        <f>IF(H147="","",H147)</f>
        <v>2</v>
      </c>
      <c r="S147" s="31" t="str">
        <f>IF(R147="","",IF(N(R147)=0,"NÖTR",IF(Q147="","TEKRAR",IF(ROUND(Q147-R147,2)&gt;=0,"ONAYLANDI","TEKRAR"))))</f>
        <v>ONAYLANDI</v>
      </c>
      <c r="T147" s="8">
        <f>IF(OR(Q147="",R147=""),"",ROUND(Q147-R147,2))</f>
        <v>0</v>
      </c>
      <c r="U147" s="9"/>
    </row>
    <row r="148" spans="1:21" ht="45" x14ac:dyDescent="0.25">
      <c r="A148" s="4" t="s">
        <v>411</v>
      </c>
      <c r="B148" s="4" t="s">
        <v>412</v>
      </c>
      <c r="C148" s="5" t="s">
        <v>331</v>
      </c>
      <c r="D148" s="6">
        <v>1</v>
      </c>
      <c r="E148" s="4" t="s">
        <v>78</v>
      </c>
      <c r="F148" s="4" t="s">
        <v>338</v>
      </c>
      <c r="H148" s="4">
        <v>1</v>
      </c>
      <c r="I148" s="36" t="s">
        <v>331</v>
      </c>
      <c r="J148" s="4" t="s">
        <v>668</v>
      </c>
      <c r="K148" s="36">
        <v>9140111</v>
      </c>
      <c r="L148" s="4"/>
      <c r="M148" s="4"/>
      <c r="N148" s="37" t="s">
        <v>609</v>
      </c>
      <c r="O148" s="37" t="s">
        <v>340</v>
      </c>
      <c r="Q148" s="7">
        <f>IF(D148="","",D148)</f>
        <v>1</v>
      </c>
      <c r="R148" s="7">
        <f>IF(H148="","",H148)</f>
        <v>1</v>
      </c>
      <c r="S148" s="31" t="str">
        <f>IF(R148="","",IF(N(R148)=0,"NÖTR",IF(Q148="","TEKRAR",IF(ROUND(Q148-R148,2)&gt;=0,"ONAYLANDI","TEKRAR"))))</f>
        <v>ONAYLANDI</v>
      </c>
      <c r="T148" s="8">
        <f>IF(OR(Q148="",R148=""),"",ROUND(Q148-R148,2))</f>
        <v>0</v>
      </c>
      <c r="U148" s="9"/>
    </row>
    <row r="149" spans="1:21" ht="60" x14ac:dyDescent="0.25">
      <c r="A149" s="4" t="s">
        <v>413</v>
      </c>
      <c r="B149" s="4" t="s">
        <v>414</v>
      </c>
      <c r="C149" s="5" t="s">
        <v>331</v>
      </c>
      <c r="D149" s="6">
        <v>7</v>
      </c>
      <c r="E149" s="4" t="s">
        <v>78</v>
      </c>
      <c r="F149" s="4" t="s">
        <v>392</v>
      </c>
      <c r="H149" s="35">
        <v>7</v>
      </c>
      <c r="I149" s="36" t="s">
        <v>331</v>
      </c>
      <c r="J149" s="4" t="s">
        <v>413</v>
      </c>
      <c r="K149" s="36">
        <v>9140112</v>
      </c>
      <c r="L149" s="4"/>
      <c r="M149" s="4" t="s">
        <v>78</v>
      </c>
      <c r="N149" s="37" t="s">
        <v>393</v>
      </c>
      <c r="O149" s="37"/>
      <c r="Q149" s="7">
        <f>IF(D149="","",D149)</f>
        <v>7</v>
      </c>
      <c r="R149" s="7">
        <f>IF(H149="","",H149)</f>
        <v>7</v>
      </c>
      <c r="S149" s="31" t="str">
        <f>IF(R149="","",IF(N(R149)=0,"NÖTR",IF(Q149="","TEKRAR",IF(ROUND(Q149-R149,2)&gt;=0,"ONAYLANDI","TEKRAR"))))</f>
        <v>ONAYLANDI</v>
      </c>
      <c r="T149" s="8">
        <f>IF(OR(Q149="",R149=""),"",ROUND(Q149-R149,2))</f>
        <v>0</v>
      </c>
      <c r="U149" s="9"/>
    </row>
    <row r="150" spans="1:21" ht="60" x14ac:dyDescent="0.25">
      <c r="A150" s="4" t="s">
        <v>415</v>
      </c>
      <c r="B150" s="4" t="s">
        <v>416</v>
      </c>
      <c r="C150" s="5" t="s">
        <v>331</v>
      </c>
      <c r="D150" s="6">
        <v>9</v>
      </c>
      <c r="E150" s="4" t="s">
        <v>78</v>
      </c>
      <c r="F150" s="4" t="s">
        <v>417</v>
      </c>
      <c r="H150" s="4">
        <v>9</v>
      </c>
      <c r="I150" s="36" t="s">
        <v>331</v>
      </c>
      <c r="J150" s="4" t="s">
        <v>669</v>
      </c>
      <c r="K150" s="36">
        <v>9140123</v>
      </c>
      <c r="L150" s="4"/>
      <c r="M150" s="4"/>
      <c r="N150" s="37" t="s">
        <v>609</v>
      </c>
      <c r="O150" s="37" t="s">
        <v>418</v>
      </c>
      <c r="Q150" s="7">
        <f>IF(D150="","",D150)</f>
        <v>9</v>
      </c>
      <c r="R150" s="7">
        <f>IF(H150="","",H150)</f>
        <v>9</v>
      </c>
      <c r="S150" s="31" t="str">
        <f>IF(R150="","",IF(N(R150)=0,"NÖTR",IF(Q150="","TEKRAR",IF(ROUND(Q150-R150,2)&gt;=0,"ONAYLANDI","TEKRAR"))))</f>
        <v>ONAYLANDI</v>
      </c>
      <c r="T150" s="8">
        <f>IF(OR(Q150="",R150=""),"",ROUND(Q150-R150,2))</f>
        <v>0</v>
      </c>
      <c r="U150" s="9"/>
    </row>
    <row r="151" spans="1:21" ht="45" x14ac:dyDescent="0.25">
      <c r="A151" s="4" t="s">
        <v>419</v>
      </c>
      <c r="B151" s="4" t="s">
        <v>420</v>
      </c>
      <c r="C151" s="5" t="s">
        <v>331</v>
      </c>
      <c r="D151" s="6">
        <v>1</v>
      </c>
      <c r="E151" s="4" t="s">
        <v>78</v>
      </c>
      <c r="F151" s="4" t="s">
        <v>343</v>
      </c>
      <c r="H151" s="4">
        <v>1</v>
      </c>
      <c r="I151" s="36" t="s">
        <v>331</v>
      </c>
      <c r="J151" s="4" t="s">
        <v>670</v>
      </c>
      <c r="K151" s="36">
        <v>9140146</v>
      </c>
      <c r="L151" s="4"/>
      <c r="M151" s="4"/>
      <c r="N151" s="37" t="s">
        <v>609</v>
      </c>
      <c r="O151" s="37" t="s">
        <v>343</v>
      </c>
      <c r="Q151" s="7">
        <f>IF(D151="","",D151)</f>
        <v>1</v>
      </c>
      <c r="R151" s="7">
        <f>IF(H151="","",H151)</f>
        <v>1</v>
      </c>
      <c r="S151" s="31" t="str">
        <f>IF(R151="","",IF(N(R151)=0,"NÖTR",IF(Q151="","TEKRAR",IF(ROUND(Q151-R151,2)&gt;=0,"ONAYLANDI","TEKRAR"))))</f>
        <v>ONAYLANDI</v>
      </c>
      <c r="T151" s="8">
        <f>IF(OR(Q151="",R151=""),"",ROUND(Q151-R151,2))</f>
        <v>0</v>
      </c>
      <c r="U151" s="9"/>
    </row>
    <row r="152" spans="1:21" ht="60" x14ac:dyDescent="0.25">
      <c r="A152" s="4" t="s">
        <v>421</v>
      </c>
      <c r="B152" s="4" t="s">
        <v>422</v>
      </c>
      <c r="C152" s="5" t="s">
        <v>331</v>
      </c>
      <c r="D152" s="6">
        <v>4</v>
      </c>
      <c r="E152" s="4" t="s">
        <v>78</v>
      </c>
      <c r="F152" s="4" t="s">
        <v>423</v>
      </c>
      <c r="H152" s="35">
        <f>1+3</f>
        <v>4</v>
      </c>
      <c r="I152" s="36" t="s">
        <v>331</v>
      </c>
      <c r="J152" s="4" t="s">
        <v>421</v>
      </c>
      <c r="K152" s="36">
        <v>9140223</v>
      </c>
      <c r="L152" s="4"/>
      <c r="M152" s="4" t="s">
        <v>78</v>
      </c>
      <c r="N152" s="37" t="s">
        <v>605</v>
      </c>
      <c r="O152" s="37" t="s">
        <v>340</v>
      </c>
      <c r="Q152" s="7">
        <f>IF(D152="","",D152)</f>
        <v>4</v>
      </c>
      <c r="R152" s="7">
        <f>IF(H152="","",H152)</f>
        <v>4</v>
      </c>
      <c r="S152" s="31" t="str">
        <f>IF(R152="","",IF(N(R152)=0,"NÖTR",IF(Q152="","TEKRAR",IF(ROUND(Q152-R152,2)&gt;=0,"ONAYLANDI","TEKRAR"))))</f>
        <v>ONAYLANDI</v>
      </c>
      <c r="T152" s="8">
        <f>IF(OR(Q152="",R152=""),"",ROUND(Q152-R152,2))</f>
        <v>0</v>
      </c>
      <c r="U152" s="9"/>
    </row>
    <row r="153" spans="1:21" ht="60" x14ac:dyDescent="0.25">
      <c r="A153" s="4" t="s">
        <v>424</v>
      </c>
      <c r="B153" s="4" t="s">
        <v>425</v>
      </c>
      <c r="C153" s="5" t="s">
        <v>331</v>
      </c>
      <c r="D153" s="6">
        <v>2</v>
      </c>
      <c r="E153" s="4" t="s">
        <v>78</v>
      </c>
      <c r="F153" s="4" t="s">
        <v>423</v>
      </c>
      <c r="H153" s="35">
        <f>1+1</f>
        <v>2</v>
      </c>
      <c r="I153" s="36" t="s">
        <v>331</v>
      </c>
      <c r="J153" s="4" t="s">
        <v>424</v>
      </c>
      <c r="K153" s="36">
        <v>9140270</v>
      </c>
      <c r="L153" s="4"/>
      <c r="M153" s="4" t="s">
        <v>78</v>
      </c>
      <c r="N153" s="37" t="s">
        <v>605</v>
      </c>
      <c r="O153" s="37" t="s">
        <v>340</v>
      </c>
      <c r="Q153" s="7">
        <f>IF(D153="","",D153)</f>
        <v>2</v>
      </c>
      <c r="R153" s="7">
        <f>IF(H153="","",H153)</f>
        <v>2</v>
      </c>
      <c r="S153" s="31" t="str">
        <f>IF(R153="","",IF(N(R153)=0,"NÖTR",IF(Q153="","TEKRAR",IF(ROUND(Q153-R153,2)&gt;=0,"ONAYLANDI","TEKRAR"))))</f>
        <v>ONAYLANDI</v>
      </c>
      <c r="T153" s="8">
        <f>IF(OR(Q153="",R153=""),"",ROUND(Q153-R153,2))</f>
        <v>0</v>
      </c>
      <c r="U153" s="9"/>
    </row>
    <row r="154" spans="1:21" ht="105" x14ac:dyDescent="0.25">
      <c r="A154" s="4" t="s">
        <v>426</v>
      </c>
      <c r="B154" s="4" t="s">
        <v>427</v>
      </c>
      <c r="C154" s="5" t="s">
        <v>331</v>
      </c>
      <c r="D154" s="6">
        <v>12</v>
      </c>
      <c r="E154" s="4" t="s">
        <v>78</v>
      </c>
      <c r="F154" s="4" t="s">
        <v>428</v>
      </c>
      <c r="H154" s="35">
        <f>5+20</f>
        <v>25</v>
      </c>
      <c r="I154" s="36" t="s">
        <v>331</v>
      </c>
      <c r="J154" s="4" t="s">
        <v>426</v>
      </c>
      <c r="K154" s="36">
        <v>9140902</v>
      </c>
      <c r="L154" s="4" t="s">
        <v>429</v>
      </c>
      <c r="M154" s="4" t="s">
        <v>78</v>
      </c>
      <c r="N154" s="37" t="s">
        <v>601</v>
      </c>
      <c r="O154" s="37" t="s">
        <v>430</v>
      </c>
      <c r="Q154" s="7">
        <f>IF(D154="","",D154)</f>
        <v>12</v>
      </c>
      <c r="R154" s="7">
        <f>IF(H154="","",H154)</f>
        <v>25</v>
      </c>
      <c r="S154" s="31" t="str">
        <f>IF(R154="","",IF(N(R154)=0,"NÖTR",IF(Q154="","TEKRAR",IF(ROUND(Q154-R154,2)&gt;=0,"ONAYLANDI","TEKRAR"))))</f>
        <v>TEKRAR</v>
      </c>
      <c r="T154" s="8">
        <f>IF(OR(Q154="",R154=""),"",ROUND(Q154-R154,2))</f>
        <v>-13</v>
      </c>
      <c r="U154" s="9"/>
    </row>
    <row r="155" spans="1:21" ht="45" x14ac:dyDescent="0.25">
      <c r="A155" s="4" t="s">
        <v>431</v>
      </c>
      <c r="B155" s="4" t="s">
        <v>432</v>
      </c>
      <c r="C155" s="5" t="s">
        <v>331</v>
      </c>
      <c r="D155" s="6">
        <v>4</v>
      </c>
      <c r="E155" s="4" t="s">
        <v>78</v>
      </c>
      <c r="F155" s="4" t="s">
        <v>353</v>
      </c>
      <c r="H155" s="4">
        <v>4</v>
      </c>
      <c r="I155" s="36" t="s">
        <v>331</v>
      </c>
      <c r="J155" s="4" t="s">
        <v>671</v>
      </c>
      <c r="K155" s="36">
        <v>9140903</v>
      </c>
      <c r="L155" s="4"/>
      <c r="M155" s="4"/>
      <c r="N155" s="37" t="s">
        <v>609</v>
      </c>
      <c r="O155" s="37" t="s">
        <v>370</v>
      </c>
      <c r="Q155" s="7">
        <f>IF(D155="","",D155)</f>
        <v>4</v>
      </c>
      <c r="R155" s="7">
        <f>IF(H155="","",H155)</f>
        <v>4</v>
      </c>
      <c r="S155" s="31" t="str">
        <f>IF(R155="","",IF(N(R155)=0,"NÖTR",IF(Q155="","TEKRAR",IF(ROUND(Q155-R155,2)&gt;=0,"ONAYLANDI","TEKRAR"))))</f>
        <v>ONAYLANDI</v>
      </c>
      <c r="T155" s="8">
        <f>IF(OR(Q155="",R155=""),"",ROUND(Q155-R155,2))</f>
        <v>0</v>
      </c>
      <c r="U155" s="9"/>
    </row>
    <row r="156" spans="1:21" ht="45" x14ac:dyDescent="0.25">
      <c r="A156" s="4" t="s">
        <v>433</v>
      </c>
      <c r="B156" s="4" t="s">
        <v>434</v>
      </c>
      <c r="C156" s="5" t="s">
        <v>331</v>
      </c>
      <c r="D156" s="6">
        <v>3</v>
      </c>
      <c r="E156" s="4" t="s">
        <v>78</v>
      </c>
      <c r="F156" s="4" t="s">
        <v>338</v>
      </c>
      <c r="H156" s="4">
        <v>3</v>
      </c>
      <c r="I156" s="36" t="s">
        <v>331</v>
      </c>
      <c r="J156" s="4" t="s">
        <v>672</v>
      </c>
      <c r="K156" s="36">
        <v>9140938</v>
      </c>
      <c r="L156" s="4"/>
      <c r="M156" s="4"/>
      <c r="N156" s="37" t="s">
        <v>609</v>
      </c>
      <c r="O156" s="37" t="s">
        <v>340</v>
      </c>
      <c r="Q156" s="7">
        <f>IF(D156="","",D156)</f>
        <v>3</v>
      </c>
      <c r="R156" s="7">
        <f>IF(H156="","",H156)</f>
        <v>3</v>
      </c>
      <c r="S156" s="31" t="str">
        <f>IF(R156="","",IF(N(R156)=0,"NÖTR",IF(Q156="","TEKRAR",IF(ROUND(Q156-R156,2)&gt;=0,"ONAYLANDI","TEKRAR"))))</f>
        <v>ONAYLANDI</v>
      </c>
      <c r="T156" s="8">
        <f>IF(OR(Q156="",R156=""),"",ROUND(Q156-R156,2))</f>
        <v>0</v>
      </c>
      <c r="U156" s="9"/>
    </row>
    <row r="157" spans="1:21" ht="60" x14ac:dyDescent="0.25">
      <c r="A157" s="4" t="s">
        <v>435</v>
      </c>
      <c r="B157" s="4" t="s">
        <v>436</v>
      </c>
      <c r="C157" s="5" t="s">
        <v>331</v>
      </c>
      <c r="D157" s="6">
        <v>5</v>
      </c>
      <c r="E157" s="4" t="s">
        <v>78</v>
      </c>
      <c r="F157" s="4" t="s">
        <v>343</v>
      </c>
      <c r="H157" s="35">
        <f>1+4</f>
        <v>5</v>
      </c>
      <c r="I157" s="36" t="s">
        <v>331</v>
      </c>
      <c r="J157" s="4" t="s">
        <v>435</v>
      </c>
      <c r="K157" s="36">
        <v>9140939</v>
      </c>
      <c r="L157" s="4"/>
      <c r="M157" s="4" t="s">
        <v>78</v>
      </c>
      <c r="N157" s="37" t="s">
        <v>601</v>
      </c>
      <c r="O157" s="37" t="s">
        <v>343</v>
      </c>
      <c r="Q157" s="7">
        <f>IF(D157="","",D157)</f>
        <v>5</v>
      </c>
      <c r="R157" s="7">
        <f>IF(H157="","",H157)</f>
        <v>5</v>
      </c>
      <c r="S157" s="31" t="str">
        <f>IF(R157="","",IF(N(R157)=0,"NÖTR",IF(Q157="","TEKRAR",IF(ROUND(Q157-R157,2)&gt;=0,"ONAYLANDI","TEKRAR"))))</f>
        <v>ONAYLANDI</v>
      </c>
      <c r="T157" s="8">
        <f>IF(OR(Q157="",R157=""),"",ROUND(Q157-R157,2))</f>
        <v>0</v>
      </c>
      <c r="U157" s="9"/>
    </row>
    <row r="158" spans="1:21" ht="45" x14ac:dyDescent="0.25">
      <c r="A158" s="4" t="s">
        <v>437</v>
      </c>
      <c r="B158" s="4" t="s">
        <v>438</v>
      </c>
      <c r="C158" s="5" t="s">
        <v>331</v>
      </c>
      <c r="D158" s="6">
        <v>3</v>
      </c>
      <c r="E158" s="4" t="s">
        <v>78</v>
      </c>
      <c r="F158" s="4" t="s">
        <v>364</v>
      </c>
      <c r="H158" s="4">
        <v>3</v>
      </c>
      <c r="I158" s="36" t="s">
        <v>331</v>
      </c>
      <c r="J158" s="4" t="s">
        <v>673</v>
      </c>
      <c r="K158" s="36">
        <v>9140974</v>
      </c>
      <c r="L158" s="4"/>
      <c r="M158" s="4"/>
      <c r="N158" s="37" t="s">
        <v>609</v>
      </c>
      <c r="O158" s="37" t="s">
        <v>354</v>
      </c>
      <c r="Q158" s="7">
        <f>IF(D158="","",D158)</f>
        <v>3</v>
      </c>
      <c r="R158" s="7">
        <f>IF(H158="","",H158)</f>
        <v>3</v>
      </c>
      <c r="S158" s="31" t="str">
        <f>IF(R158="","",IF(N(R158)=0,"NÖTR",IF(Q158="","TEKRAR",IF(ROUND(Q158-R158,2)&gt;=0,"ONAYLANDI","TEKRAR"))))</f>
        <v>ONAYLANDI</v>
      </c>
      <c r="T158" s="8">
        <f>IF(OR(Q158="",R158=""),"",ROUND(Q158-R158,2))</f>
        <v>0</v>
      </c>
      <c r="U158" s="9"/>
    </row>
    <row r="159" spans="1:21" ht="60" x14ac:dyDescent="0.25">
      <c r="A159" s="4" t="s">
        <v>439</v>
      </c>
      <c r="B159" s="4" t="s">
        <v>440</v>
      </c>
      <c r="C159" s="5" t="s">
        <v>331</v>
      </c>
      <c r="D159" s="6">
        <v>3</v>
      </c>
      <c r="E159" s="4" t="s">
        <v>78</v>
      </c>
      <c r="F159" s="4" t="s">
        <v>343</v>
      </c>
      <c r="H159" s="35">
        <f>1+2</f>
        <v>3</v>
      </c>
      <c r="I159" s="36" t="s">
        <v>331</v>
      </c>
      <c r="J159" s="4" t="s">
        <v>439</v>
      </c>
      <c r="K159" s="36">
        <v>9140975</v>
      </c>
      <c r="L159" s="4"/>
      <c r="M159" s="4" t="s">
        <v>78</v>
      </c>
      <c r="N159" s="37" t="s">
        <v>601</v>
      </c>
      <c r="O159" s="37" t="s">
        <v>343</v>
      </c>
      <c r="Q159" s="7">
        <f>IF(D159="","",D159)</f>
        <v>3</v>
      </c>
      <c r="R159" s="7">
        <f>IF(H159="","",H159)</f>
        <v>3</v>
      </c>
      <c r="S159" s="31" t="str">
        <f>IF(R159="","",IF(N(R159)=0,"NÖTR",IF(Q159="","TEKRAR",IF(ROUND(Q159-R159,2)&gt;=0,"ONAYLANDI","TEKRAR"))))</f>
        <v>ONAYLANDI</v>
      </c>
      <c r="T159" s="8">
        <f>IF(OR(Q159="",R159=""),"",ROUND(Q159-R159,2))</f>
        <v>0</v>
      </c>
      <c r="U159" s="9"/>
    </row>
    <row r="160" spans="1:21" ht="60" x14ac:dyDescent="0.25">
      <c r="A160" s="4" t="s">
        <v>441</v>
      </c>
      <c r="B160" s="4" t="s">
        <v>442</v>
      </c>
      <c r="C160" s="5" t="s">
        <v>331</v>
      </c>
      <c r="D160" s="6">
        <v>5</v>
      </c>
      <c r="E160" s="4" t="s">
        <v>78</v>
      </c>
      <c r="F160" s="4" t="s">
        <v>443</v>
      </c>
      <c r="H160" s="38">
        <f>1+1+1</f>
        <v>3</v>
      </c>
      <c r="I160" s="39" t="s">
        <v>331</v>
      </c>
      <c r="J160" s="13" t="s">
        <v>441</v>
      </c>
      <c r="K160" s="39">
        <v>9140977</v>
      </c>
      <c r="L160" s="13"/>
      <c r="M160" s="13" t="s">
        <v>78</v>
      </c>
      <c r="N160" s="40" t="s">
        <v>606</v>
      </c>
      <c r="O160" s="40">
        <v>10042026</v>
      </c>
      <c r="Q160" s="7">
        <f>IF(D160="","",D160)</f>
        <v>5</v>
      </c>
      <c r="R160" s="7">
        <f>IF(H160="","",H160)</f>
        <v>3</v>
      </c>
      <c r="S160" s="31" t="str">
        <f>IF(R160="","",IF(N(R160)=0,"NÖTR",IF(Q160="","TEKRAR",IF(ROUND(Q160-R160,2)&gt;=0,"ONAYLANDI","TEKRAR"))))</f>
        <v>ONAYLANDI</v>
      </c>
      <c r="T160" s="8">
        <f>IF(OR(Q160="",R160=""),"",ROUND(Q160-R160,2))</f>
        <v>2</v>
      </c>
      <c r="U160" s="9"/>
    </row>
    <row r="161" spans="1:21" ht="45" x14ac:dyDescent="0.25">
      <c r="A161" s="4" t="s">
        <v>444</v>
      </c>
      <c r="B161" s="4" t="s">
        <v>445</v>
      </c>
      <c r="C161" s="5" t="s">
        <v>331</v>
      </c>
      <c r="D161" s="6">
        <v>3</v>
      </c>
      <c r="E161" s="4" t="s">
        <v>78</v>
      </c>
      <c r="F161" s="4" t="s">
        <v>353</v>
      </c>
      <c r="H161" s="4">
        <v>3</v>
      </c>
      <c r="I161" s="36" t="s">
        <v>331</v>
      </c>
      <c r="J161" s="4" t="s">
        <v>674</v>
      </c>
      <c r="K161" s="36">
        <v>9140987</v>
      </c>
      <c r="L161" s="4"/>
      <c r="M161" s="4"/>
      <c r="N161" s="37" t="s">
        <v>609</v>
      </c>
      <c r="O161" s="37" t="s">
        <v>370</v>
      </c>
      <c r="Q161" s="7">
        <f>IF(D161="","",D161)</f>
        <v>3</v>
      </c>
      <c r="R161" s="7">
        <f>IF(H161="","",H161)</f>
        <v>3</v>
      </c>
      <c r="S161" s="31" t="str">
        <f>IF(R161="","",IF(N(R161)=0,"NÖTR",IF(Q161="","TEKRAR",IF(ROUND(Q161-R161,2)&gt;=0,"ONAYLANDI","TEKRAR"))))</f>
        <v>ONAYLANDI</v>
      </c>
      <c r="T161" s="8">
        <f>IF(OR(Q161="",R161=""),"",ROUND(Q161-R161,2))</f>
        <v>0</v>
      </c>
      <c r="U161" s="9"/>
    </row>
    <row r="162" spans="1:21" ht="45" x14ac:dyDescent="0.25">
      <c r="A162" s="4" t="s">
        <v>446</v>
      </c>
      <c r="B162" s="4" t="s">
        <v>447</v>
      </c>
      <c r="C162" s="5" t="s">
        <v>331</v>
      </c>
      <c r="D162" s="6">
        <v>1</v>
      </c>
      <c r="E162" s="4" t="s">
        <v>78</v>
      </c>
      <c r="F162" s="4" t="s">
        <v>338</v>
      </c>
      <c r="H162" s="4">
        <v>1</v>
      </c>
      <c r="I162" s="36" t="s">
        <v>331</v>
      </c>
      <c r="J162" s="4" t="s">
        <v>675</v>
      </c>
      <c r="K162" s="36">
        <v>9141011</v>
      </c>
      <c r="L162" s="4"/>
      <c r="M162" s="4"/>
      <c r="N162" s="37" t="s">
        <v>609</v>
      </c>
      <c r="O162" s="37" t="s">
        <v>340</v>
      </c>
      <c r="Q162" s="7">
        <f>IF(D162="","",D162)</f>
        <v>1</v>
      </c>
      <c r="R162" s="7">
        <f>IF(H162="","",H162)</f>
        <v>1</v>
      </c>
      <c r="S162" s="31" t="str">
        <f>IF(R162="","",IF(N(R162)=0,"NÖTR",IF(Q162="","TEKRAR",IF(ROUND(Q162-R162,2)&gt;=0,"ONAYLANDI","TEKRAR"))))</f>
        <v>ONAYLANDI</v>
      </c>
      <c r="T162" s="8">
        <f>IF(OR(Q162="",R162=""),"",ROUND(Q162-R162,2))</f>
        <v>0</v>
      </c>
      <c r="U162" s="9"/>
    </row>
    <row r="163" spans="1:21" ht="45" x14ac:dyDescent="0.25">
      <c r="A163" s="4" t="s">
        <v>448</v>
      </c>
      <c r="B163" s="4" t="s">
        <v>449</v>
      </c>
      <c r="C163" s="5" t="s">
        <v>331</v>
      </c>
      <c r="D163" s="6">
        <v>1</v>
      </c>
      <c r="E163" s="4" t="s">
        <v>78</v>
      </c>
      <c r="F163" s="4" t="s">
        <v>338</v>
      </c>
      <c r="H163" s="4">
        <v>1</v>
      </c>
      <c r="I163" s="36" t="s">
        <v>331</v>
      </c>
      <c r="J163" s="4" t="s">
        <v>676</v>
      </c>
      <c r="K163" s="36">
        <v>9141013</v>
      </c>
      <c r="L163" s="4"/>
      <c r="M163" s="4"/>
      <c r="N163" s="37" t="s">
        <v>609</v>
      </c>
      <c r="O163" s="37" t="s">
        <v>340</v>
      </c>
      <c r="Q163" s="7">
        <f>IF(D163="","",D163)</f>
        <v>1</v>
      </c>
      <c r="R163" s="7">
        <f>IF(H163="","",H163)</f>
        <v>1</v>
      </c>
      <c r="S163" s="31" t="str">
        <f>IF(R163="","",IF(N(R163)=0,"NÖTR",IF(Q163="","TEKRAR",IF(ROUND(Q163-R163,2)&gt;=0,"ONAYLANDI","TEKRAR"))))</f>
        <v>ONAYLANDI</v>
      </c>
      <c r="T163" s="8">
        <f>IF(OR(Q163="",R163=""),"",ROUND(Q163-R163,2))</f>
        <v>0</v>
      </c>
      <c r="U163" s="9"/>
    </row>
    <row r="164" spans="1:21" ht="45" x14ac:dyDescent="0.25">
      <c r="A164" s="4" t="s">
        <v>450</v>
      </c>
      <c r="B164" s="4" t="s">
        <v>451</v>
      </c>
      <c r="C164" s="5" t="s">
        <v>331</v>
      </c>
      <c r="D164" s="6">
        <v>3</v>
      </c>
      <c r="E164" s="4" t="s">
        <v>78</v>
      </c>
      <c r="F164" s="4" t="s">
        <v>443</v>
      </c>
      <c r="H164" s="4">
        <v>2</v>
      </c>
      <c r="I164" s="36" t="s">
        <v>331</v>
      </c>
      <c r="J164" s="4" t="s">
        <v>677</v>
      </c>
      <c r="K164" s="36">
        <v>9141014</v>
      </c>
      <c r="L164" s="4"/>
      <c r="M164" s="4"/>
      <c r="N164" s="37" t="s">
        <v>609</v>
      </c>
      <c r="O164" s="37">
        <v>10042026</v>
      </c>
      <c r="Q164" s="7">
        <f>IF(D164="","",D164)</f>
        <v>3</v>
      </c>
      <c r="R164" s="7">
        <f>IF(H164="","",H164)</f>
        <v>2</v>
      </c>
      <c r="S164" s="31" t="str">
        <f>IF(R164="","",IF(N(R164)=0,"NÖTR",IF(Q164="","TEKRAR",IF(ROUND(Q164-R164,2)&gt;=0,"ONAYLANDI","TEKRAR"))))</f>
        <v>ONAYLANDI</v>
      </c>
      <c r="T164" s="8">
        <f>IF(OR(Q164="",R164=""),"",ROUND(Q164-R164,2))</f>
        <v>1</v>
      </c>
      <c r="U164" s="9"/>
    </row>
    <row r="165" spans="1:21" ht="45" x14ac:dyDescent="0.25">
      <c r="A165" s="4" t="s">
        <v>452</v>
      </c>
      <c r="B165" s="4" t="s">
        <v>453</v>
      </c>
      <c r="C165" s="5" t="s">
        <v>331</v>
      </c>
      <c r="D165" s="6">
        <v>4</v>
      </c>
      <c r="E165" s="4" t="s">
        <v>78</v>
      </c>
      <c r="F165" s="4" t="s">
        <v>353</v>
      </c>
      <c r="H165" s="4">
        <v>3</v>
      </c>
      <c r="I165" s="36" t="s">
        <v>331</v>
      </c>
      <c r="J165" s="4" t="s">
        <v>678</v>
      </c>
      <c r="K165" s="36">
        <v>9141015</v>
      </c>
      <c r="L165" s="4"/>
      <c r="M165" s="4"/>
      <c r="N165" s="37" t="s">
        <v>609</v>
      </c>
      <c r="O165" s="37" t="s">
        <v>354</v>
      </c>
      <c r="Q165" s="7">
        <f>IF(D165="","",D165)</f>
        <v>4</v>
      </c>
      <c r="R165" s="7">
        <f>IF(H165="","",H165)</f>
        <v>3</v>
      </c>
      <c r="S165" s="31" t="str">
        <f>IF(R165="","",IF(N(R165)=0,"NÖTR",IF(Q165="","TEKRAR",IF(ROUND(Q165-R165,2)&gt;=0,"ONAYLANDI","TEKRAR"))))</f>
        <v>ONAYLANDI</v>
      </c>
      <c r="T165" s="8">
        <f>IF(OR(Q165="",R165=""),"",ROUND(Q165-R165,2))</f>
        <v>1</v>
      </c>
      <c r="U165" s="9"/>
    </row>
    <row r="166" spans="1:21" ht="60" x14ac:dyDescent="0.25">
      <c r="A166" s="4" t="s">
        <v>454</v>
      </c>
      <c r="B166" s="4" t="s">
        <v>455</v>
      </c>
      <c r="C166" s="5" t="s">
        <v>331</v>
      </c>
      <c r="D166" s="6">
        <v>2</v>
      </c>
      <c r="E166" s="4" t="s">
        <v>78</v>
      </c>
      <c r="F166" s="4" t="s">
        <v>343</v>
      </c>
      <c r="H166" s="38">
        <f>1+1+1</f>
        <v>3</v>
      </c>
      <c r="I166" s="39" t="s">
        <v>331</v>
      </c>
      <c r="J166" s="13" t="s">
        <v>454</v>
      </c>
      <c r="K166" s="39">
        <v>9141049</v>
      </c>
      <c r="L166" s="13"/>
      <c r="M166" s="13" t="s">
        <v>78</v>
      </c>
      <c r="N166" s="40" t="s">
        <v>607</v>
      </c>
      <c r="O166" s="40" t="s">
        <v>343</v>
      </c>
      <c r="Q166" s="7">
        <f>IF(D166="","",D166)</f>
        <v>2</v>
      </c>
      <c r="R166" s="7">
        <f>IF(H166="","",H166)</f>
        <v>3</v>
      </c>
      <c r="S166" s="31" t="str">
        <f>IF(R166="","",IF(N(R166)=0,"NÖTR",IF(Q166="","TEKRAR",IF(ROUND(Q166-R166,2)&gt;=0,"ONAYLANDI","TEKRAR"))))</f>
        <v>TEKRAR</v>
      </c>
      <c r="T166" s="8">
        <f>IF(OR(Q166="",R166=""),"",ROUND(Q166-R166,2))</f>
        <v>-1</v>
      </c>
      <c r="U166" s="9"/>
    </row>
    <row r="167" spans="1:21" ht="45" x14ac:dyDescent="0.25">
      <c r="A167" s="4" t="s">
        <v>456</v>
      </c>
      <c r="B167" s="4" t="s">
        <v>457</v>
      </c>
      <c r="C167" s="5" t="s">
        <v>331</v>
      </c>
      <c r="D167" s="6">
        <v>1</v>
      </c>
      <c r="E167" s="4" t="s">
        <v>78</v>
      </c>
      <c r="F167" s="4" t="s">
        <v>343</v>
      </c>
      <c r="H167" s="4">
        <v>1</v>
      </c>
      <c r="I167" s="36" t="s">
        <v>331</v>
      </c>
      <c r="J167" s="4" t="s">
        <v>679</v>
      </c>
      <c r="K167" s="36">
        <v>9141193</v>
      </c>
      <c r="L167" s="4"/>
      <c r="M167" s="4"/>
      <c r="N167" s="37" t="s">
        <v>609</v>
      </c>
      <c r="O167" s="37" t="s">
        <v>343</v>
      </c>
      <c r="Q167" s="7">
        <f>IF(D167="","",D167)</f>
        <v>1</v>
      </c>
      <c r="R167" s="7">
        <f>IF(H167="","",H167)</f>
        <v>1</v>
      </c>
      <c r="S167" s="31" t="str">
        <f>IF(R167="","",IF(N(R167)=0,"NÖTR",IF(Q167="","TEKRAR",IF(ROUND(Q167-R167,2)&gt;=0,"ONAYLANDI","TEKRAR"))))</f>
        <v>ONAYLANDI</v>
      </c>
      <c r="T167" s="8">
        <f>IF(OR(Q167="",R167=""),"",ROUND(Q167-R167,2))</f>
        <v>0</v>
      </c>
      <c r="U167" s="9"/>
    </row>
    <row r="168" spans="1:21" ht="45" x14ac:dyDescent="0.25">
      <c r="A168" s="4" t="s">
        <v>458</v>
      </c>
      <c r="B168" s="4" t="s">
        <v>459</v>
      </c>
      <c r="C168" s="5" t="s">
        <v>331</v>
      </c>
      <c r="D168" s="6">
        <v>4</v>
      </c>
      <c r="E168" s="4" t="s">
        <v>78</v>
      </c>
      <c r="F168" s="4" t="s">
        <v>353</v>
      </c>
      <c r="H168" s="4">
        <v>7</v>
      </c>
      <c r="I168" s="36" t="s">
        <v>331</v>
      </c>
      <c r="J168" s="4" t="s">
        <v>680</v>
      </c>
      <c r="K168" s="36">
        <v>9240014</v>
      </c>
      <c r="L168" s="4"/>
      <c r="M168" s="4"/>
      <c r="N168" s="37" t="s">
        <v>609</v>
      </c>
      <c r="O168" s="37" t="s">
        <v>400</v>
      </c>
      <c r="Q168" s="7">
        <f>IF(D168="","",D168)</f>
        <v>4</v>
      </c>
      <c r="R168" s="7">
        <f>IF(H168="","",H168)</f>
        <v>7</v>
      </c>
      <c r="S168" s="31" t="str">
        <f>IF(R168="","",IF(N(R168)=0,"NÖTR",IF(Q168="","TEKRAR",IF(ROUND(Q168-R168,2)&gt;=0,"ONAYLANDI","TEKRAR"))))</f>
        <v>TEKRAR</v>
      </c>
      <c r="T168" s="8">
        <f>IF(OR(Q168="",R168=""),"",ROUND(Q168-R168,2))</f>
        <v>-3</v>
      </c>
      <c r="U168" s="9"/>
    </row>
    <row r="169" spans="1:21" ht="45" x14ac:dyDescent="0.25">
      <c r="A169" s="4" t="s">
        <v>460</v>
      </c>
      <c r="B169" s="4" t="s">
        <v>461</v>
      </c>
      <c r="C169" s="5" t="s">
        <v>331</v>
      </c>
      <c r="D169" s="6">
        <v>1</v>
      </c>
      <c r="E169" s="4" t="s">
        <v>78</v>
      </c>
      <c r="F169" s="4" t="s">
        <v>338</v>
      </c>
      <c r="H169" s="4">
        <v>3</v>
      </c>
      <c r="I169" s="36" t="s">
        <v>331</v>
      </c>
      <c r="J169" s="4" t="s">
        <v>681</v>
      </c>
      <c r="K169" s="36">
        <v>9240016</v>
      </c>
      <c r="L169" s="4"/>
      <c r="M169" s="4"/>
      <c r="N169" s="37" t="s">
        <v>609</v>
      </c>
      <c r="O169" s="37" t="s">
        <v>400</v>
      </c>
      <c r="Q169" s="7">
        <f>IF(D169="","",D169)</f>
        <v>1</v>
      </c>
      <c r="R169" s="7">
        <f>IF(H169="","",H169)</f>
        <v>3</v>
      </c>
      <c r="S169" s="31" t="str">
        <f>IF(R169="","",IF(N(R169)=0,"NÖTR",IF(Q169="","TEKRAR",IF(ROUND(Q169-R169,2)&gt;=0,"ONAYLANDI","TEKRAR"))))</f>
        <v>TEKRAR</v>
      </c>
      <c r="T169" s="8">
        <f>IF(OR(Q169="",R169=""),"",ROUND(Q169-R169,2))</f>
        <v>-2</v>
      </c>
      <c r="U169" s="9"/>
    </row>
    <row r="170" spans="1:21" ht="60" x14ac:dyDescent="0.25">
      <c r="A170" s="4" t="s">
        <v>462</v>
      </c>
      <c r="B170" s="4" t="s">
        <v>463</v>
      </c>
      <c r="C170" s="5" t="s">
        <v>331</v>
      </c>
      <c r="D170" s="6">
        <v>6</v>
      </c>
      <c r="E170" s="4" t="s">
        <v>78</v>
      </c>
      <c r="F170" s="4" t="s">
        <v>464</v>
      </c>
      <c r="H170" s="42">
        <f>5.1+0.9</f>
        <v>6</v>
      </c>
      <c r="I170" s="36" t="s">
        <v>331</v>
      </c>
      <c r="J170" s="4" t="s">
        <v>462</v>
      </c>
      <c r="K170" s="36">
        <v>9240038</v>
      </c>
      <c r="L170" s="4"/>
      <c r="M170" s="4" t="s">
        <v>78</v>
      </c>
      <c r="N170" s="37" t="s">
        <v>601</v>
      </c>
      <c r="O170" s="37" t="s">
        <v>465</v>
      </c>
      <c r="Q170" s="10">
        <f>IF(D170="","",D170)</f>
        <v>6</v>
      </c>
      <c r="R170" s="10">
        <f>IF(H170="","",H170)</f>
        <v>6</v>
      </c>
      <c r="S170" s="31" t="str">
        <f>IF(R170="","",IF(N(R170)=0,"NÖTR",IF(Q170="","TEKRAR",IF(ROUND(Q170-R170,2)&gt;=0,"ONAYLANDI","TEKRAR"))))</f>
        <v>ONAYLANDI</v>
      </c>
      <c r="T170" s="11">
        <f>IF(OR(Q170="",R170=""),"",ROUND(Q170-R170,2))</f>
        <v>0</v>
      </c>
      <c r="U170" s="12" t="s">
        <v>466</v>
      </c>
    </row>
    <row r="171" spans="1:21" ht="45" x14ac:dyDescent="0.25">
      <c r="A171" s="4" t="s">
        <v>467</v>
      </c>
      <c r="B171" s="4" t="s">
        <v>468</v>
      </c>
      <c r="C171" s="5" t="s">
        <v>331</v>
      </c>
      <c r="D171" s="6">
        <v>1</v>
      </c>
      <c r="E171" s="4" t="s">
        <v>78</v>
      </c>
      <c r="F171" s="4" t="s">
        <v>338</v>
      </c>
      <c r="H171" s="4">
        <v>1</v>
      </c>
      <c r="I171" s="36" t="s">
        <v>331</v>
      </c>
      <c r="J171" s="4" t="s">
        <v>682</v>
      </c>
      <c r="K171" s="36">
        <v>9240052</v>
      </c>
      <c r="L171" s="4"/>
      <c r="M171" s="4"/>
      <c r="N171" s="37" t="s">
        <v>609</v>
      </c>
      <c r="O171" s="37" t="s">
        <v>340</v>
      </c>
      <c r="Q171" s="7">
        <f>IF(D171="","",D171)</f>
        <v>1</v>
      </c>
      <c r="R171" s="7">
        <f>IF(H171="","",H171)</f>
        <v>1</v>
      </c>
      <c r="S171" s="31" t="str">
        <f>IF(R171="","",IF(N(R171)=0,"NÖTR",IF(Q171="","TEKRAR",IF(ROUND(Q171-R171,2)&gt;=0,"ONAYLANDI","TEKRAR"))))</f>
        <v>ONAYLANDI</v>
      </c>
      <c r="T171" s="8">
        <f>IF(OR(Q171="",R171=""),"",ROUND(Q171-R171,2))</f>
        <v>0</v>
      </c>
      <c r="U171" s="9"/>
    </row>
    <row r="172" spans="1:21" ht="45" x14ac:dyDescent="0.25">
      <c r="A172" s="4" t="s">
        <v>469</v>
      </c>
      <c r="B172" s="4" t="s">
        <v>470</v>
      </c>
      <c r="C172" s="5" t="s">
        <v>331</v>
      </c>
      <c r="D172" s="6">
        <v>1</v>
      </c>
      <c r="E172" s="4" t="s">
        <v>78</v>
      </c>
      <c r="F172" s="4" t="s">
        <v>338</v>
      </c>
      <c r="H172" s="4">
        <v>1</v>
      </c>
      <c r="I172" s="36" t="s">
        <v>331</v>
      </c>
      <c r="J172" s="4" t="s">
        <v>683</v>
      </c>
      <c r="K172" s="36">
        <v>9240062</v>
      </c>
      <c r="L172" s="4"/>
      <c r="M172" s="4"/>
      <c r="N172" s="37" t="s">
        <v>609</v>
      </c>
      <c r="O172" s="37" t="s">
        <v>340</v>
      </c>
      <c r="Q172" s="7">
        <f>IF(D172="","",D172)</f>
        <v>1</v>
      </c>
      <c r="R172" s="7">
        <f>IF(H172="","",H172)</f>
        <v>1</v>
      </c>
      <c r="S172" s="31" t="str">
        <f>IF(R172="","",IF(N(R172)=0,"NÖTR",IF(Q172="","TEKRAR",IF(ROUND(Q172-R172,2)&gt;=0,"ONAYLANDI","TEKRAR"))))</f>
        <v>ONAYLANDI</v>
      </c>
      <c r="T172" s="8">
        <f>IF(OR(Q172="",R172=""),"",ROUND(Q172-R172,2))</f>
        <v>0</v>
      </c>
      <c r="U172" s="9"/>
    </row>
    <row r="173" spans="1:21" ht="45" x14ac:dyDescent="0.25">
      <c r="A173" s="4" t="s">
        <v>471</v>
      </c>
      <c r="B173" s="4" t="s">
        <v>472</v>
      </c>
      <c r="C173" s="5" t="s">
        <v>331</v>
      </c>
      <c r="D173" s="6">
        <v>18</v>
      </c>
      <c r="E173" s="4" t="s">
        <v>78</v>
      </c>
      <c r="F173" s="4" t="s">
        <v>353</v>
      </c>
      <c r="H173" s="4">
        <v>14</v>
      </c>
      <c r="I173" s="36" t="s">
        <v>331</v>
      </c>
      <c r="J173" s="4" t="s">
        <v>684</v>
      </c>
      <c r="K173" s="36">
        <v>9240494</v>
      </c>
      <c r="L173" s="4"/>
      <c r="M173" s="4"/>
      <c r="N173" s="37" t="s">
        <v>609</v>
      </c>
      <c r="O173" s="37" t="s">
        <v>354</v>
      </c>
      <c r="Q173" s="7">
        <f>IF(D173="","",D173)</f>
        <v>18</v>
      </c>
      <c r="R173" s="7">
        <f>IF(H173="","",H173)</f>
        <v>14</v>
      </c>
      <c r="S173" s="31" t="str">
        <f>IF(R173="","",IF(N(R173)=0,"NÖTR",IF(Q173="","TEKRAR",IF(ROUND(Q173-R173,2)&gt;=0,"ONAYLANDI","TEKRAR"))))</f>
        <v>ONAYLANDI</v>
      </c>
      <c r="T173" s="8">
        <f>IF(OR(Q173="",R173=""),"",ROUND(Q173-R173,2))</f>
        <v>4</v>
      </c>
      <c r="U173" s="9"/>
    </row>
    <row r="174" spans="1:21" ht="45" x14ac:dyDescent="0.25">
      <c r="A174" s="4" t="s">
        <v>473</v>
      </c>
      <c r="B174" s="4" t="s">
        <v>474</v>
      </c>
      <c r="C174" s="5" t="s">
        <v>331</v>
      </c>
      <c r="D174" s="6">
        <v>1</v>
      </c>
      <c r="E174" s="4" t="s">
        <v>78</v>
      </c>
      <c r="F174" s="4" t="s">
        <v>338</v>
      </c>
      <c r="H174" s="4">
        <v>1</v>
      </c>
      <c r="I174" s="36" t="s">
        <v>331</v>
      </c>
      <c r="J174" s="4" t="s">
        <v>685</v>
      </c>
      <c r="K174" s="36">
        <v>9240495</v>
      </c>
      <c r="L174" s="4"/>
      <c r="M174" s="4"/>
      <c r="N174" s="37" t="s">
        <v>609</v>
      </c>
      <c r="O174" s="37" t="s">
        <v>340</v>
      </c>
      <c r="Q174" s="7">
        <f>IF(D174="","",D174)</f>
        <v>1</v>
      </c>
      <c r="R174" s="7">
        <f>IF(H174="","",H174)</f>
        <v>1</v>
      </c>
      <c r="S174" s="31" t="str">
        <f>IF(R174="","",IF(N(R174)=0,"NÖTR",IF(Q174="","TEKRAR",IF(ROUND(Q174-R174,2)&gt;=0,"ONAYLANDI","TEKRAR"))))</f>
        <v>ONAYLANDI</v>
      </c>
      <c r="T174" s="8">
        <f>IF(OR(Q174="",R174=""),"",ROUND(Q174-R174,2))</f>
        <v>0</v>
      </c>
      <c r="U174" s="9"/>
    </row>
    <row r="175" spans="1:21" ht="45" x14ac:dyDescent="0.25">
      <c r="A175" s="4" t="s">
        <v>475</v>
      </c>
      <c r="B175" s="4" t="s">
        <v>476</v>
      </c>
      <c r="C175" s="5" t="s">
        <v>331</v>
      </c>
      <c r="D175" s="6">
        <v>8</v>
      </c>
      <c r="E175" s="4" t="s">
        <v>78</v>
      </c>
      <c r="F175" s="4" t="s">
        <v>353</v>
      </c>
      <c r="H175" s="4">
        <v>6</v>
      </c>
      <c r="I175" s="36" t="s">
        <v>331</v>
      </c>
      <c r="J175" s="4" t="s">
        <v>686</v>
      </c>
      <c r="K175" s="36">
        <v>9240496</v>
      </c>
      <c r="L175" s="4"/>
      <c r="M175" s="4"/>
      <c r="N175" s="37" t="s">
        <v>609</v>
      </c>
      <c r="O175" s="37" t="s">
        <v>354</v>
      </c>
      <c r="Q175" s="7">
        <f>IF(D175="","",D175)</f>
        <v>8</v>
      </c>
      <c r="R175" s="7">
        <f>IF(H175="","",H175)</f>
        <v>6</v>
      </c>
      <c r="S175" s="31" t="str">
        <f>IF(R175="","",IF(N(R175)=0,"NÖTR",IF(Q175="","TEKRAR",IF(ROUND(Q175-R175,2)&gt;=0,"ONAYLANDI","TEKRAR"))))</f>
        <v>ONAYLANDI</v>
      </c>
      <c r="T175" s="8">
        <f>IF(OR(Q175="",R175=""),"",ROUND(Q175-R175,2))</f>
        <v>2</v>
      </c>
      <c r="U175" s="9"/>
    </row>
    <row r="176" spans="1:21" ht="45" x14ac:dyDescent="0.25">
      <c r="A176" s="4" t="s">
        <v>477</v>
      </c>
      <c r="B176" s="4" t="s">
        <v>478</v>
      </c>
      <c r="C176" s="5" t="s">
        <v>331</v>
      </c>
      <c r="D176" s="6">
        <v>8</v>
      </c>
      <c r="E176" s="4" t="s">
        <v>78</v>
      </c>
      <c r="F176" s="4" t="s">
        <v>353</v>
      </c>
      <c r="H176" s="4">
        <v>5</v>
      </c>
      <c r="I176" s="36" t="s">
        <v>331</v>
      </c>
      <c r="J176" s="4" t="s">
        <v>687</v>
      </c>
      <c r="K176" s="36">
        <v>9240518</v>
      </c>
      <c r="L176" s="4"/>
      <c r="M176" s="4"/>
      <c r="N176" s="37" t="s">
        <v>609</v>
      </c>
      <c r="O176" s="37" t="s">
        <v>340</v>
      </c>
      <c r="Q176" s="7">
        <f>IF(D176="","",D176)</f>
        <v>8</v>
      </c>
      <c r="R176" s="7">
        <f>IF(H176="","",H176)</f>
        <v>5</v>
      </c>
      <c r="S176" s="31" t="str">
        <f>IF(R176="","",IF(N(R176)=0,"NÖTR",IF(Q176="","TEKRAR",IF(ROUND(Q176-R176,2)&gt;=0,"ONAYLANDI","TEKRAR"))))</f>
        <v>ONAYLANDI</v>
      </c>
      <c r="T176" s="8">
        <f>IF(OR(Q176="",R176=""),"",ROUND(Q176-R176,2))</f>
        <v>3</v>
      </c>
      <c r="U176" s="9"/>
    </row>
    <row r="177" spans="1:21" ht="45" x14ac:dyDescent="0.25">
      <c r="A177" s="4" t="s">
        <v>479</v>
      </c>
      <c r="B177" s="4" t="s">
        <v>480</v>
      </c>
      <c r="C177" s="5" t="s">
        <v>331</v>
      </c>
      <c r="D177" s="6">
        <v>1</v>
      </c>
      <c r="E177" s="4" t="s">
        <v>78</v>
      </c>
      <c r="F177" s="4" t="s">
        <v>338</v>
      </c>
      <c r="H177" s="4">
        <v>1</v>
      </c>
      <c r="I177" s="36" t="s">
        <v>331</v>
      </c>
      <c r="J177" s="4" t="s">
        <v>688</v>
      </c>
      <c r="K177" s="36">
        <v>9240532</v>
      </c>
      <c r="L177" s="4"/>
      <c r="M177" s="4"/>
      <c r="N177" s="37" t="s">
        <v>609</v>
      </c>
      <c r="O177" s="37" t="s">
        <v>340</v>
      </c>
      <c r="Q177" s="7">
        <f>IF(D177="","",D177)</f>
        <v>1</v>
      </c>
      <c r="R177" s="7">
        <f>IF(H177="","",H177)</f>
        <v>1</v>
      </c>
      <c r="S177" s="31" t="str">
        <f>IF(R177="","",IF(N(R177)=0,"NÖTR",IF(Q177="","TEKRAR",IF(ROUND(Q177-R177,2)&gt;=0,"ONAYLANDI","TEKRAR"))))</f>
        <v>ONAYLANDI</v>
      </c>
      <c r="T177" s="8">
        <f>IF(OR(Q177="",R177=""),"",ROUND(Q177-R177,2))</f>
        <v>0</v>
      </c>
      <c r="U177" s="9"/>
    </row>
    <row r="178" spans="1:21" ht="105" x14ac:dyDescent="0.25">
      <c r="A178" s="4" t="s">
        <v>481</v>
      </c>
      <c r="B178" s="4" t="s">
        <v>482</v>
      </c>
      <c r="C178" s="5" t="s">
        <v>115</v>
      </c>
      <c r="D178" s="6">
        <v>825</v>
      </c>
      <c r="E178" s="4" t="s">
        <v>58</v>
      </c>
      <c r="F178" s="4" t="s">
        <v>214</v>
      </c>
      <c r="H178" s="35">
        <v>825</v>
      </c>
      <c r="I178" s="36" t="s">
        <v>115</v>
      </c>
      <c r="J178" s="4" t="s">
        <v>483</v>
      </c>
      <c r="K178" s="36" t="s">
        <v>482</v>
      </c>
      <c r="L178" s="4"/>
      <c r="M178" s="4" t="s">
        <v>58</v>
      </c>
      <c r="N178" s="37" t="s">
        <v>154</v>
      </c>
      <c r="O178" s="37"/>
      <c r="Q178" s="7">
        <f>IF(D178="","",D178)</f>
        <v>825</v>
      </c>
      <c r="R178" s="7">
        <f>IF(H178="","",H178)</f>
        <v>825</v>
      </c>
      <c r="S178" s="31" t="str">
        <f>IF(R178="","",IF(N(R178)=0,"NÖTR",IF(Q178="","TEKRAR",IF(ROUND(Q178-R178,2)&gt;=0,"ONAYLANDI","TEKRAR"))))</f>
        <v>ONAYLANDI</v>
      </c>
      <c r="T178" s="8">
        <f>IF(OR(Q178="",R178=""),"",ROUND(Q178-R178,2))</f>
        <v>0</v>
      </c>
      <c r="U178" s="9"/>
    </row>
    <row r="179" spans="1:21" ht="30" x14ac:dyDescent="0.25">
      <c r="A179" s="4" t="s">
        <v>484</v>
      </c>
      <c r="B179" s="4" t="s">
        <v>485</v>
      </c>
      <c r="C179" s="5" t="s">
        <v>115</v>
      </c>
      <c r="D179" s="6">
        <v>180</v>
      </c>
      <c r="E179" s="4" t="s">
        <v>209</v>
      </c>
      <c r="F179" s="4" t="s">
        <v>486</v>
      </c>
      <c r="H179" s="4"/>
      <c r="I179" s="36"/>
      <c r="J179" s="4"/>
      <c r="K179" s="36"/>
      <c r="L179" s="4"/>
      <c r="M179" s="4"/>
      <c r="N179" s="37" t="s">
        <v>608</v>
      </c>
      <c r="O179" s="37"/>
      <c r="Q179" s="7">
        <f>IF(D179="","",D179)</f>
        <v>180</v>
      </c>
      <c r="R179" s="7" t="str">
        <f>IF(H179="","",H179)</f>
        <v/>
      </c>
      <c r="S179" s="31" t="str">
        <f>IF(R179="","",IF(N(R179)=0,"NÖTR",IF(Q179="","TEKRAR",IF(ROUND(Q179-R179,2)&gt;=0,"ONAYLANDI","TEKRAR"))))</f>
        <v/>
      </c>
      <c r="T179" s="8" t="str">
        <f>IF(OR(Q179="",R179=""),"",ROUND(Q179-R179,2))</f>
        <v/>
      </c>
      <c r="U179" s="9"/>
    </row>
    <row r="180" spans="1:21" ht="105" x14ac:dyDescent="0.25">
      <c r="A180" s="4" t="s">
        <v>484</v>
      </c>
      <c r="B180" s="4" t="s">
        <v>485</v>
      </c>
      <c r="C180" s="5" t="s">
        <v>115</v>
      </c>
      <c r="D180" s="6">
        <v>3280</v>
      </c>
      <c r="E180" s="4" t="s">
        <v>598</v>
      </c>
      <c r="F180" s="4" t="s">
        <v>599</v>
      </c>
      <c r="H180" s="35">
        <v>3280</v>
      </c>
      <c r="I180" s="36" t="s">
        <v>115</v>
      </c>
      <c r="J180" s="4" t="s">
        <v>487</v>
      </c>
      <c r="K180" s="36" t="s">
        <v>485</v>
      </c>
      <c r="L180" s="4"/>
      <c r="M180" s="4" t="s">
        <v>58</v>
      </c>
      <c r="N180" s="37" t="s">
        <v>92</v>
      </c>
      <c r="O180" s="37"/>
      <c r="Q180" s="7">
        <f>IF(D180="","",D180)</f>
        <v>3280</v>
      </c>
      <c r="R180" s="7">
        <f>IF(H180="","",H180)</f>
        <v>3280</v>
      </c>
      <c r="S180" s="31" t="str">
        <f>IF(R180="","",IF(N(R180)=0,"NÖTR",IF(Q180="","TEKRAR",IF(ROUND(Q180-R180,2)&gt;=0,"ONAYLANDI","TEKRAR"))))</f>
        <v>ONAYLANDI</v>
      </c>
      <c r="T180" s="8">
        <f>IF(OR(Q180="",R180=""),"",ROUND(Q180-R180,2))</f>
        <v>0</v>
      </c>
      <c r="U180" s="9" t="s">
        <v>488</v>
      </c>
    </row>
    <row r="181" spans="1:21" ht="30" x14ac:dyDescent="0.25">
      <c r="A181" s="4" t="s">
        <v>489</v>
      </c>
      <c r="B181" s="4" t="s">
        <v>490</v>
      </c>
      <c r="C181" s="5" t="s">
        <v>57</v>
      </c>
      <c r="D181" s="6">
        <v>450</v>
      </c>
      <c r="E181" s="4" t="s">
        <v>21</v>
      </c>
      <c r="F181" s="4" t="s">
        <v>491</v>
      </c>
      <c r="H181" s="4"/>
      <c r="I181" s="36"/>
      <c r="J181" s="4"/>
      <c r="K181" s="36"/>
      <c r="L181" s="4"/>
      <c r="M181" s="4"/>
      <c r="N181" s="37" t="s">
        <v>608</v>
      </c>
      <c r="O181" s="37"/>
      <c r="Q181" s="7">
        <f>IF(D181="","",D181)</f>
        <v>450</v>
      </c>
      <c r="R181" s="7" t="str">
        <f>IF(H181="","",H181)</f>
        <v/>
      </c>
      <c r="S181" s="31" t="str">
        <f>IF(R181="","",IF(N(R181)=0,"NÖTR",IF(Q181="","TEKRAR",IF(ROUND(Q181-R181,2)&gt;=0,"ONAYLANDI","TEKRAR"))))</f>
        <v/>
      </c>
      <c r="T181" s="8" t="str">
        <f>IF(OR(Q181="",R181=""),"",ROUND(Q181-R181,2))</f>
        <v/>
      </c>
      <c r="U181" s="9"/>
    </row>
    <row r="182" spans="1:21" ht="30" x14ac:dyDescent="0.25">
      <c r="A182" s="4" t="s">
        <v>492</v>
      </c>
      <c r="B182" s="4" t="s">
        <v>493</v>
      </c>
      <c r="C182" s="5" t="s">
        <v>57</v>
      </c>
      <c r="D182" s="6">
        <v>967</v>
      </c>
      <c r="E182" s="4" t="s">
        <v>21</v>
      </c>
      <c r="F182" s="4" t="s">
        <v>494</v>
      </c>
      <c r="H182" s="38">
        <f>900+2320</f>
        <v>3220</v>
      </c>
      <c r="I182" s="39" t="s">
        <v>57</v>
      </c>
      <c r="J182" s="13" t="s">
        <v>689</v>
      </c>
      <c r="K182" s="39" t="s">
        <v>493</v>
      </c>
      <c r="L182" s="13"/>
      <c r="M182" s="13" t="s">
        <v>21</v>
      </c>
      <c r="N182" s="40" t="s">
        <v>495</v>
      </c>
      <c r="O182" s="40"/>
      <c r="Q182" s="7">
        <f>IF(D182="","",D182)</f>
        <v>967</v>
      </c>
      <c r="R182" s="7">
        <f>IF(H182="","",H182)</f>
        <v>3220</v>
      </c>
      <c r="S182" s="31" t="str">
        <f>IF(R182="","",IF(N(R182)=0,"NÖTR",IF(Q182="","TEKRAR",IF(ROUND(Q182-R182,2)&gt;=0,"ONAYLANDI","TEKRAR"))))</f>
        <v>TEKRAR</v>
      </c>
      <c r="T182" s="8">
        <f>IF(OR(Q182="",R182=""),"",ROUND(Q182-R182,2))</f>
        <v>-2253</v>
      </c>
      <c r="U182" s="9" t="s">
        <v>496</v>
      </c>
    </row>
    <row r="183" spans="1:21" ht="45" x14ac:dyDescent="0.25">
      <c r="A183" s="4" t="s">
        <v>497</v>
      </c>
      <c r="B183" s="4" t="s">
        <v>498</v>
      </c>
      <c r="C183" s="5" t="s">
        <v>52</v>
      </c>
      <c r="D183" s="6">
        <v>3707</v>
      </c>
      <c r="E183" s="4" t="s">
        <v>499</v>
      </c>
      <c r="F183" s="4" t="s">
        <v>500</v>
      </c>
      <c r="H183" s="4"/>
      <c r="I183" s="36"/>
      <c r="J183" s="4"/>
      <c r="K183" s="36"/>
      <c r="L183" s="4"/>
      <c r="M183" s="4"/>
      <c r="N183" s="37" t="s">
        <v>608</v>
      </c>
      <c r="O183" s="37"/>
      <c r="Q183" s="7">
        <f>IF(D183="","",D183)</f>
        <v>3707</v>
      </c>
      <c r="R183" s="7" t="str">
        <f>IF(H183="","",H183)</f>
        <v/>
      </c>
      <c r="S183" s="31" t="str">
        <f>IF(R183="","",IF(N(R183)=0,"NÖTR",IF(Q183="","TEKRAR",IF(ROUND(Q183-R183,2)&gt;=0,"ONAYLANDI","TEKRAR"))))</f>
        <v/>
      </c>
      <c r="T183" s="8" t="str">
        <f>IF(OR(Q183="",R183=""),"",ROUND(Q183-R183,2))</f>
        <v/>
      </c>
      <c r="U183" s="9"/>
    </row>
    <row r="184" spans="1:21" ht="45" x14ac:dyDescent="0.25">
      <c r="A184" s="4" t="s">
        <v>501</v>
      </c>
      <c r="B184" s="4" t="s">
        <v>502</v>
      </c>
      <c r="C184" s="5" t="s">
        <v>57</v>
      </c>
      <c r="D184" s="6">
        <v>23</v>
      </c>
      <c r="E184" s="4" t="s">
        <v>58</v>
      </c>
      <c r="F184" s="4" t="s">
        <v>503</v>
      </c>
      <c r="H184" s="35">
        <v>23</v>
      </c>
      <c r="I184" s="36" t="s">
        <v>57</v>
      </c>
      <c r="J184" s="4" t="s">
        <v>690</v>
      </c>
      <c r="K184" s="36" t="s">
        <v>502</v>
      </c>
      <c r="L184" s="4"/>
      <c r="M184" s="4" t="s">
        <v>58</v>
      </c>
      <c r="N184" s="37" t="s">
        <v>226</v>
      </c>
      <c r="O184" s="37"/>
      <c r="Q184" s="7">
        <f>IF(D184="","",D184)</f>
        <v>23</v>
      </c>
      <c r="R184" s="7">
        <f>IF(H184="","",H184)</f>
        <v>23</v>
      </c>
      <c r="S184" s="31" t="str">
        <f>IF(R184="","",IF(N(R184)=0,"NÖTR",IF(Q184="","TEKRAR",IF(ROUND(Q184-R184,2)&gt;=0,"ONAYLANDI","TEKRAR"))))</f>
        <v>ONAYLANDI</v>
      </c>
      <c r="T184" s="8">
        <f>IF(OR(Q184="",R184=""),"",ROUND(Q184-R184,2))</f>
        <v>0</v>
      </c>
      <c r="U184" s="9"/>
    </row>
    <row r="185" spans="1:21" ht="45" x14ac:dyDescent="0.25">
      <c r="A185" s="4" t="s">
        <v>504</v>
      </c>
      <c r="B185" s="4" t="s">
        <v>505</v>
      </c>
      <c r="C185" s="5" t="s">
        <v>52</v>
      </c>
      <c r="D185" s="6">
        <v>3707</v>
      </c>
      <c r="E185" s="4" t="s">
        <v>499</v>
      </c>
      <c r="F185" s="4" t="s">
        <v>506</v>
      </c>
      <c r="H185" s="4"/>
      <c r="I185" s="36"/>
      <c r="J185" s="4"/>
      <c r="K185" s="36"/>
      <c r="L185" s="4"/>
      <c r="M185" s="4"/>
      <c r="N185" s="37" t="s">
        <v>608</v>
      </c>
      <c r="O185" s="37"/>
      <c r="Q185" s="7">
        <f>IF(D185="","",D185)</f>
        <v>3707</v>
      </c>
      <c r="R185" s="7" t="str">
        <f>IF(H185="","",H185)</f>
        <v/>
      </c>
      <c r="S185" s="31" t="str">
        <f>IF(R185="","",IF(N(R185)=0,"NÖTR",IF(Q185="","TEKRAR",IF(ROUND(Q185-R185,2)&gt;=0,"ONAYLANDI","TEKRAR"))))</f>
        <v/>
      </c>
      <c r="T185" s="8" t="str">
        <f>IF(OR(Q185="",R185=""),"",ROUND(Q185-R185,2))</f>
        <v/>
      </c>
      <c r="U185" s="9"/>
    </row>
    <row r="186" spans="1:21" ht="30" x14ac:dyDescent="0.25">
      <c r="A186" s="4" t="s">
        <v>507</v>
      </c>
      <c r="B186" s="4" t="s">
        <v>508</v>
      </c>
      <c r="C186" s="5" t="s">
        <v>57</v>
      </c>
      <c r="D186" s="6">
        <v>830</v>
      </c>
      <c r="E186" s="4" t="s">
        <v>499</v>
      </c>
      <c r="F186" s="4" t="s">
        <v>506</v>
      </c>
      <c r="H186" s="4"/>
      <c r="I186" s="36"/>
      <c r="J186" s="4"/>
      <c r="K186" s="36"/>
      <c r="L186" s="4"/>
      <c r="M186" s="4"/>
      <c r="N186" s="37" t="s">
        <v>608</v>
      </c>
      <c r="O186" s="37"/>
      <c r="Q186" s="7">
        <f>IF(D186="","",D186)</f>
        <v>830</v>
      </c>
      <c r="R186" s="7" t="str">
        <f>IF(H186="","",H186)</f>
        <v/>
      </c>
      <c r="S186" s="31" t="str">
        <f>IF(R186="","",IF(N(R186)=0,"NÖTR",IF(Q186="","TEKRAR",IF(ROUND(Q186-R186,2)&gt;=0,"ONAYLANDI","TEKRAR"))))</f>
        <v/>
      </c>
      <c r="T186" s="8" t="str">
        <f>IF(OR(Q186="",R186=""),"",ROUND(Q186-R186,2))</f>
        <v/>
      </c>
      <c r="U186" s="9"/>
    </row>
    <row r="187" spans="1:21" ht="30" x14ac:dyDescent="0.25">
      <c r="A187" s="4" t="s">
        <v>509</v>
      </c>
      <c r="B187" s="4" t="s">
        <v>510</v>
      </c>
      <c r="C187" s="5" t="s">
        <v>68</v>
      </c>
      <c r="D187" s="6">
        <v>17</v>
      </c>
      <c r="E187" s="4" t="s">
        <v>81</v>
      </c>
      <c r="F187" s="4" t="s">
        <v>82</v>
      </c>
      <c r="H187" s="35">
        <v>17</v>
      </c>
      <c r="I187" s="36" t="s">
        <v>68</v>
      </c>
      <c r="J187" s="4" t="s">
        <v>509</v>
      </c>
      <c r="K187" s="36" t="s">
        <v>510</v>
      </c>
      <c r="L187" s="4"/>
      <c r="M187" s="4" t="s">
        <v>81</v>
      </c>
      <c r="N187" s="37" t="s">
        <v>126</v>
      </c>
      <c r="O187" s="37"/>
      <c r="Q187" s="7">
        <f>IF(D187="","",D187)</f>
        <v>17</v>
      </c>
      <c r="R187" s="7">
        <f>IF(H187="","",H187)</f>
        <v>17</v>
      </c>
      <c r="S187" s="31" t="str">
        <f>IF(R187="","",IF(N(R187)=0,"NÖTR",IF(Q187="","TEKRAR",IF(ROUND(Q187-R187,2)&gt;=0,"ONAYLANDI","TEKRAR"))))</f>
        <v>ONAYLANDI</v>
      </c>
      <c r="T187" s="8">
        <f>IF(OR(Q187="",R187=""),"",ROUND(Q187-R187,2))</f>
        <v>0</v>
      </c>
      <c r="U187" s="9"/>
    </row>
    <row r="188" spans="1:21" x14ac:dyDescent="0.25">
      <c r="A188" s="4" t="s">
        <v>511</v>
      </c>
      <c r="B188" s="4" t="s">
        <v>512</v>
      </c>
      <c r="C188" s="5" t="s">
        <v>20</v>
      </c>
      <c r="D188" s="6">
        <v>34</v>
      </c>
      <c r="E188" s="4" t="s">
        <v>81</v>
      </c>
      <c r="F188" s="4" t="s">
        <v>82</v>
      </c>
      <c r="H188" s="4">
        <v>34</v>
      </c>
      <c r="I188" s="36" t="s">
        <v>83</v>
      </c>
      <c r="J188" s="4" t="s">
        <v>691</v>
      </c>
      <c r="K188" s="36" t="s">
        <v>512</v>
      </c>
      <c r="L188" s="4"/>
      <c r="M188" s="4"/>
      <c r="N188" s="37" t="s">
        <v>609</v>
      </c>
      <c r="O188" s="37">
        <v>17062026</v>
      </c>
      <c r="Q188" s="7">
        <f>IF(D188="","",D188)</f>
        <v>34</v>
      </c>
      <c r="R188" s="7">
        <f>IF(H188="","",H188)</f>
        <v>34</v>
      </c>
      <c r="S188" s="31" t="str">
        <f>IF(R188="","",IF(N(R188)=0,"NÖTR",IF(Q188="","TEKRAR",IF(ROUND(Q188-R188,2)&gt;=0,"ONAYLANDI","TEKRAR"))))</f>
        <v>ONAYLANDI</v>
      </c>
      <c r="T188" s="8">
        <f>IF(OR(Q188="",R188=""),"",ROUND(Q188-R188,2))</f>
        <v>0</v>
      </c>
      <c r="U188" s="9"/>
    </row>
    <row r="189" spans="1:21" ht="45" x14ac:dyDescent="0.25">
      <c r="A189" s="4" t="s">
        <v>513</v>
      </c>
      <c r="B189" s="4" t="s">
        <v>514</v>
      </c>
      <c r="C189" s="5" t="s">
        <v>27</v>
      </c>
      <c r="D189" s="6">
        <v>10</v>
      </c>
      <c r="E189" s="4" t="s">
        <v>21</v>
      </c>
      <c r="F189" s="4" t="s">
        <v>515</v>
      </c>
      <c r="H189" s="35">
        <v>9</v>
      </c>
      <c r="I189" s="36" t="s">
        <v>27</v>
      </c>
      <c r="J189" s="4" t="s">
        <v>513</v>
      </c>
      <c r="K189" s="36" t="s">
        <v>514</v>
      </c>
      <c r="L189" s="4"/>
      <c r="M189" s="4" t="s">
        <v>21</v>
      </c>
      <c r="N189" s="37" t="s">
        <v>39</v>
      </c>
      <c r="O189" s="37"/>
      <c r="Q189" s="7">
        <f>IF(D189="","",D189)</f>
        <v>10</v>
      </c>
      <c r="R189" s="7">
        <f>IF(H189="","",H189)</f>
        <v>9</v>
      </c>
      <c r="S189" s="31" t="str">
        <f>IF(R189="","",IF(N(R189)=0,"NÖTR",IF(Q189="","TEKRAR",IF(ROUND(Q189-R189,2)&gt;=0,"ONAYLANDI","TEKRAR"))))</f>
        <v>ONAYLANDI</v>
      </c>
      <c r="T189" s="8">
        <f>IF(OR(Q189="",R189=""),"",ROUND(Q189-R189,2))</f>
        <v>1</v>
      </c>
      <c r="U189" s="9"/>
    </row>
    <row r="190" spans="1:21" ht="45" x14ac:dyDescent="0.25">
      <c r="A190" s="4" t="s">
        <v>516</v>
      </c>
      <c r="B190" s="4" t="s">
        <v>517</v>
      </c>
      <c r="C190" s="5" t="s">
        <v>52</v>
      </c>
      <c r="D190" s="6">
        <v>900</v>
      </c>
      <c r="E190" s="4" t="s">
        <v>58</v>
      </c>
      <c r="F190" s="4" t="s">
        <v>59</v>
      </c>
      <c r="H190" s="35">
        <v>900</v>
      </c>
      <c r="I190" s="36" t="s">
        <v>52</v>
      </c>
      <c r="J190" s="4" t="s">
        <v>516</v>
      </c>
      <c r="K190" s="36" t="s">
        <v>517</v>
      </c>
      <c r="L190" s="4"/>
      <c r="M190" s="4" t="s">
        <v>58</v>
      </c>
      <c r="N190" s="37" t="s">
        <v>154</v>
      </c>
      <c r="O190" s="37"/>
      <c r="Q190" s="7">
        <f>IF(D190="","",D190)</f>
        <v>900</v>
      </c>
      <c r="R190" s="7">
        <f>IF(H190="","",H190)</f>
        <v>900</v>
      </c>
      <c r="S190" s="31" t="str">
        <f>IF(R190="","",IF(N(R190)=0,"NÖTR",IF(Q190="","TEKRAR",IF(ROUND(Q190-R190,2)&gt;=0,"ONAYLANDI","TEKRAR"))))</f>
        <v>ONAYLANDI</v>
      </c>
      <c r="T190" s="8">
        <f>IF(OR(Q190="",R190=""),"",ROUND(Q190-R190,2))</f>
        <v>0</v>
      </c>
      <c r="U190" s="9"/>
    </row>
    <row r="191" spans="1:21" ht="60" x14ac:dyDescent="0.25">
      <c r="A191" s="4" t="s">
        <v>518</v>
      </c>
      <c r="B191" s="4" t="s">
        <v>519</v>
      </c>
      <c r="C191" s="5" t="s">
        <v>27</v>
      </c>
      <c r="D191" s="6">
        <v>422</v>
      </c>
      <c r="E191" s="4" t="s">
        <v>21</v>
      </c>
      <c r="F191" s="4" t="s">
        <v>520</v>
      </c>
      <c r="H191" s="38">
        <f>410+12</f>
        <v>422</v>
      </c>
      <c r="I191" s="39" t="s">
        <v>27</v>
      </c>
      <c r="J191" s="13" t="s">
        <v>518</v>
      </c>
      <c r="K191" s="39" t="s">
        <v>519</v>
      </c>
      <c r="L191" s="13"/>
      <c r="M191" s="13" t="s">
        <v>21</v>
      </c>
      <c r="N191" s="40" t="s">
        <v>54</v>
      </c>
      <c r="O191" s="40"/>
      <c r="Q191" s="7">
        <f>IF(D191="","",D191)</f>
        <v>422</v>
      </c>
      <c r="R191" s="7">
        <f>IF(H191="","",H191)</f>
        <v>422</v>
      </c>
      <c r="S191" s="31" t="str">
        <f>IF(R191="","",IF(N(R191)=0,"NÖTR",IF(Q191="","TEKRAR",IF(ROUND(Q191-R191,2)&gt;=0,"ONAYLANDI","TEKRAR"))))</f>
        <v>ONAYLANDI</v>
      </c>
      <c r="T191" s="8">
        <f>IF(OR(Q191="",R191=""),"",ROUND(Q191-R191,2))</f>
        <v>0</v>
      </c>
      <c r="U191" s="9"/>
    </row>
    <row r="192" spans="1:21" ht="60" x14ac:dyDescent="0.25">
      <c r="A192" s="4" t="s">
        <v>521</v>
      </c>
      <c r="B192" s="4" t="s">
        <v>522</v>
      </c>
      <c r="C192" s="5" t="s">
        <v>20</v>
      </c>
      <c r="D192" s="6">
        <v>405</v>
      </c>
      <c r="E192" s="4" t="s">
        <v>21</v>
      </c>
      <c r="F192" s="4" t="s">
        <v>520</v>
      </c>
      <c r="H192" s="38">
        <f>280+125</f>
        <v>405</v>
      </c>
      <c r="I192" s="39" t="s">
        <v>20</v>
      </c>
      <c r="J192" s="13" t="s">
        <v>521</v>
      </c>
      <c r="K192" s="39" t="s">
        <v>522</v>
      </c>
      <c r="L192" s="13"/>
      <c r="M192" s="13" t="s">
        <v>21</v>
      </c>
      <c r="N192" s="40" t="s">
        <v>135</v>
      </c>
      <c r="O192" s="40"/>
      <c r="Q192" s="7">
        <f>IF(D192="","",D192)</f>
        <v>405</v>
      </c>
      <c r="R192" s="7">
        <f>IF(H192="","",H192)</f>
        <v>405</v>
      </c>
      <c r="S192" s="31" t="str">
        <f>IF(R192="","",IF(N(R192)=0,"NÖTR",IF(Q192="","TEKRAR",IF(ROUND(Q192-R192,2)&gt;=0,"ONAYLANDI","TEKRAR"))))</f>
        <v>ONAYLANDI</v>
      </c>
      <c r="T192" s="8">
        <f>IF(OR(Q192="",R192=""),"",ROUND(Q192-R192,2))</f>
        <v>0</v>
      </c>
      <c r="U192" s="9"/>
    </row>
    <row r="193" spans="1:21" ht="45" x14ac:dyDescent="0.25">
      <c r="A193" s="4" t="s">
        <v>523</v>
      </c>
      <c r="B193" s="4" t="s">
        <v>524</v>
      </c>
      <c r="C193" s="5" t="s">
        <v>27</v>
      </c>
      <c r="D193" s="6">
        <v>124</v>
      </c>
      <c r="E193" s="4" t="s">
        <v>21</v>
      </c>
      <c r="F193" s="4" t="s">
        <v>53</v>
      </c>
      <c r="H193" s="38">
        <f>75+49</f>
        <v>124</v>
      </c>
      <c r="I193" s="39" t="s">
        <v>27</v>
      </c>
      <c r="J193" s="13" t="s">
        <v>523</v>
      </c>
      <c r="K193" s="39" t="s">
        <v>524</v>
      </c>
      <c r="L193" s="13"/>
      <c r="M193" s="13" t="s">
        <v>21</v>
      </c>
      <c r="N193" s="40" t="s">
        <v>135</v>
      </c>
      <c r="O193" s="40"/>
      <c r="Q193" s="7">
        <f>IF(D193="","",D193)</f>
        <v>124</v>
      </c>
      <c r="R193" s="7">
        <f>IF(H193="","",H193)</f>
        <v>124</v>
      </c>
      <c r="S193" s="31" t="str">
        <f>IF(R193="","",IF(N(R193)=0,"NÖTR",IF(Q193="","TEKRAR",IF(ROUND(Q193-R193,2)&gt;=0,"ONAYLANDI","TEKRAR"))))</f>
        <v>ONAYLANDI</v>
      </c>
      <c r="T193" s="8">
        <f>IF(OR(Q193="",R193=""),"",ROUND(Q193-R193,2))</f>
        <v>0</v>
      </c>
      <c r="U193" s="9"/>
    </row>
    <row r="194" spans="1:21" ht="45" x14ac:dyDescent="0.25">
      <c r="A194" s="4" t="s">
        <v>525</v>
      </c>
      <c r="B194" s="4" t="s">
        <v>526</v>
      </c>
      <c r="C194" s="5" t="s">
        <v>20</v>
      </c>
      <c r="D194" s="6">
        <v>3</v>
      </c>
      <c r="E194" s="4" t="s">
        <v>21</v>
      </c>
      <c r="F194" s="4" t="s">
        <v>22</v>
      </c>
      <c r="H194" s="35">
        <v>3</v>
      </c>
      <c r="I194" s="36" t="s">
        <v>20</v>
      </c>
      <c r="J194" s="4" t="s">
        <v>525</v>
      </c>
      <c r="K194" s="36" t="s">
        <v>526</v>
      </c>
      <c r="L194" s="4" t="s">
        <v>527</v>
      </c>
      <c r="M194" s="4" t="s">
        <v>21</v>
      </c>
      <c r="N194" s="37" t="s">
        <v>23</v>
      </c>
      <c r="O194" s="37"/>
      <c r="Q194" s="7">
        <f>IF(D194="","",D194)</f>
        <v>3</v>
      </c>
      <c r="R194" s="7">
        <f>IF(H194="","",H194)</f>
        <v>3</v>
      </c>
      <c r="S194" s="31" t="str">
        <f>IF(R194="","",IF(N(R194)=0,"NÖTR",IF(Q194="","TEKRAR",IF(ROUND(Q194-R194,2)&gt;=0,"ONAYLANDI","TEKRAR"))))</f>
        <v>ONAYLANDI</v>
      </c>
      <c r="T194" s="8">
        <f>IF(OR(Q194="",R194=""),"",ROUND(Q194-R194,2))</f>
        <v>0</v>
      </c>
      <c r="U194" s="9"/>
    </row>
    <row r="195" spans="1:21" ht="90" x14ac:dyDescent="0.25">
      <c r="A195" s="4" t="s">
        <v>528</v>
      </c>
      <c r="B195" s="4" t="s">
        <v>529</v>
      </c>
      <c r="C195" s="5" t="s">
        <v>20</v>
      </c>
      <c r="D195" s="6">
        <v>6</v>
      </c>
      <c r="E195" s="4" t="s">
        <v>21</v>
      </c>
      <c r="F195" s="4" t="s">
        <v>22</v>
      </c>
      <c r="H195" s="35">
        <v>6</v>
      </c>
      <c r="I195" s="36" t="s">
        <v>20</v>
      </c>
      <c r="J195" s="4" t="s">
        <v>528</v>
      </c>
      <c r="K195" s="36" t="s">
        <v>529</v>
      </c>
      <c r="L195" s="4" t="s">
        <v>530</v>
      </c>
      <c r="M195" s="4" t="s">
        <v>21</v>
      </c>
      <c r="N195" s="37" t="s">
        <v>23</v>
      </c>
      <c r="O195" s="37"/>
      <c r="Q195" s="7">
        <f>IF(D195="","",D195)</f>
        <v>6</v>
      </c>
      <c r="R195" s="7">
        <f>IF(H195="","",H195)</f>
        <v>6</v>
      </c>
      <c r="S195" s="31" t="str">
        <f>IF(R195="","",IF(N(R195)=0,"NÖTR",IF(Q195="","TEKRAR",IF(ROUND(Q195-R195,2)&gt;=0,"ONAYLANDI","TEKRAR"))))</f>
        <v>ONAYLANDI</v>
      </c>
      <c r="T195" s="8">
        <f>IF(OR(Q195="",R195=""),"",ROUND(Q195-R195,2))</f>
        <v>0</v>
      </c>
      <c r="U195" s="9"/>
    </row>
    <row r="196" spans="1:21" ht="45" x14ac:dyDescent="0.25">
      <c r="A196" s="4" t="s">
        <v>531</v>
      </c>
      <c r="B196" s="4"/>
      <c r="C196" s="5" t="s">
        <v>52</v>
      </c>
      <c r="D196" s="6">
        <v>647</v>
      </c>
      <c r="E196" s="4" t="s">
        <v>21</v>
      </c>
      <c r="F196" s="4" t="s">
        <v>532</v>
      </c>
      <c r="H196" s="35">
        <v>636</v>
      </c>
      <c r="I196" s="36" t="s">
        <v>52</v>
      </c>
      <c r="J196" s="4" t="s">
        <v>531</v>
      </c>
      <c r="K196" s="36"/>
      <c r="L196" s="4"/>
      <c r="M196" s="4" t="s">
        <v>21</v>
      </c>
      <c r="N196" s="37" t="s">
        <v>154</v>
      </c>
      <c r="O196" s="37"/>
      <c r="Q196" s="7">
        <f>IF(D196="","",D196)</f>
        <v>647</v>
      </c>
      <c r="R196" s="7">
        <f>IF(H196="","",H196)</f>
        <v>636</v>
      </c>
      <c r="S196" s="31" t="str">
        <f>IF(R196="","",IF(N(R196)=0,"NÖTR",IF(Q196="","TEKRAR",IF(ROUND(Q196-R196,2)&gt;=0,"ONAYLANDI","TEKRAR"))))</f>
        <v>ONAYLANDI</v>
      </c>
      <c r="T196" s="8">
        <f>IF(OR(Q196="",R196=""),"",ROUND(Q196-R196,2))</f>
        <v>11</v>
      </c>
      <c r="U196" s="9"/>
    </row>
    <row r="197" spans="1:21" ht="30" x14ac:dyDescent="0.25">
      <c r="A197" s="4" t="s">
        <v>531</v>
      </c>
      <c r="B197" s="4"/>
      <c r="C197" s="5" t="s">
        <v>52</v>
      </c>
      <c r="D197" s="6">
        <v>291</v>
      </c>
      <c r="E197" s="4" t="s">
        <v>533</v>
      </c>
      <c r="F197" s="4" t="s">
        <v>534</v>
      </c>
      <c r="H197" s="35">
        <v>291</v>
      </c>
      <c r="I197" s="36" t="s">
        <v>52</v>
      </c>
      <c r="J197" s="4" t="s">
        <v>531</v>
      </c>
      <c r="K197" s="36"/>
      <c r="L197" s="4"/>
      <c r="M197" s="4" t="s">
        <v>533</v>
      </c>
      <c r="N197" s="37" t="s">
        <v>535</v>
      </c>
      <c r="O197" s="37"/>
      <c r="Q197" s="7">
        <f>IF(D197="","",D197)</f>
        <v>291</v>
      </c>
      <c r="R197" s="7">
        <f>IF(H197="","",H197)</f>
        <v>291</v>
      </c>
      <c r="S197" s="31" t="str">
        <f>IF(R197="","",IF(N(R197)=0,"NÖTR",IF(Q197="","TEKRAR",IF(ROUND(Q197-R197,2)&gt;=0,"ONAYLANDI","TEKRAR"))))</f>
        <v>ONAYLANDI</v>
      </c>
      <c r="T197" s="8">
        <f>IF(OR(Q197="",R197=""),"",ROUND(Q197-R197,2))</f>
        <v>0</v>
      </c>
      <c r="U197" s="9"/>
    </row>
    <row r="198" spans="1:21" ht="45" x14ac:dyDescent="0.25">
      <c r="A198" s="4" t="s">
        <v>536</v>
      </c>
      <c r="B198" s="4"/>
      <c r="C198" s="5" t="s">
        <v>52</v>
      </c>
      <c r="D198" s="6">
        <v>1615</v>
      </c>
      <c r="E198" s="4" t="s">
        <v>21</v>
      </c>
      <c r="F198" s="4" t="s">
        <v>532</v>
      </c>
      <c r="H198" s="35">
        <v>1615</v>
      </c>
      <c r="I198" s="36" t="s">
        <v>52</v>
      </c>
      <c r="J198" s="4" t="s">
        <v>537</v>
      </c>
      <c r="K198" s="36"/>
      <c r="L198" s="4"/>
      <c r="M198" s="4" t="s">
        <v>21</v>
      </c>
      <c r="N198" s="37" t="s">
        <v>92</v>
      </c>
      <c r="O198" s="37"/>
      <c r="Q198" s="7">
        <f>IF(D198="","",D198)</f>
        <v>1615</v>
      </c>
      <c r="R198" s="7">
        <f>IF(H198="","",H198)</f>
        <v>1615</v>
      </c>
      <c r="S198" s="31" t="str">
        <f>IF(R198="","",IF(N(R198)=0,"NÖTR",IF(Q198="","TEKRAR",IF(ROUND(Q198-R198,2)&gt;=0,"ONAYLANDI","TEKRAR"))))</f>
        <v>ONAYLANDI</v>
      </c>
      <c r="T198" s="8">
        <f>IF(OR(Q198="",R198=""),"",ROUND(Q198-R198,2))</f>
        <v>0</v>
      </c>
      <c r="U198" s="9" t="s">
        <v>538</v>
      </c>
    </row>
    <row r="199" spans="1:21" ht="30" x14ac:dyDescent="0.25">
      <c r="A199" s="4" t="s">
        <v>536</v>
      </c>
      <c r="B199" s="4"/>
      <c r="C199" s="5" t="s">
        <v>52</v>
      </c>
      <c r="D199" s="6">
        <v>1150</v>
      </c>
      <c r="E199" s="4" t="s">
        <v>533</v>
      </c>
      <c r="F199" s="4" t="s">
        <v>534</v>
      </c>
      <c r="H199" s="35">
        <v>1150</v>
      </c>
      <c r="I199" s="36" t="s">
        <v>52</v>
      </c>
      <c r="J199" s="4" t="s">
        <v>536</v>
      </c>
      <c r="K199" s="36"/>
      <c r="L199" s="4"/>
      <c r="M199" s="4" t="s">
        <v>533</v>
      </c>
      <c r="N199" s="37" t="s">
        <v>535</v>
      </c>
      <c r="O199" s="37"/>
      <c r="Q199" s="7">
        <f>IF(D199="","",D199)</f>
        <v>1150</v>
      </c>
      <c r="R199" s="7">
        <f>IF(H199="","",H199)</f>
        <v>1150</v>
      </c>
      <c r="S199" s="31" t="str">
        <f>IF(R199="","",IF(N(R199)=0,"NÖTR",IF(Q199="","TEKRAR",IF(ROUND(Q199-R199,2)&gt;=0,"ONAYLANDI","TEKRAR"))))</f>
        <v>ONAYLANDI</v>
      </c>
      <c r="T199" s="8">
        <f>IF(OR(Q199="",R199=""),"",ROUND(Q199-R199,2))</f>
        <v>0</v>
      </c>
      <c r="U199" s="9"/>
    </row>
    <row r="200" spans="1:21" ht="45" x14ac:dyDescent="0.25">
      <c r="A200" s="4" t="s">
        <v>539</v>
      </c>
      <c r="B200" s="4"/>
      <c r="C200" s="5" t="s">
        <v>52</v>
      </c>
      <c r="D200" s="6">
        <v>68</v>
      </c>
      <c r="E200" s="4" t="s">
        <v>21</v>
      </c>
      <c r="F200" s="4" t="s">
        <v>532</v>
      </c>
      <c r="H200" s="35">
        <v>68</v>
      </c>
      <c r="I200" s="36" t="s">
        <v>52</v>
      </c>
      <c r="J200" s="4" t="s">
        <v>539</v>
      </c>
      <c r="K200" s="36"/>
      <c r="L200" s="4"/>
      <c r="M200" s="4" t="s">
        <v>21</v>
      </c>
      <c r="N200" s="37" t="s">
        <v>92</v>
      </c>
      <c r="O200" s="37"/>
      <c r="Q200" s="7">
        <f>IF(D200="","",D200)</f>
        <v>68</v>
      </c>
      <c r="R200" s="7">
        <f>IF(H200="","",H200)</f>
        <v>68</v>
      </c>
      <c r="S200" s="31" t="str">
        <f>IF(R200="","",IF(N(R200)=0,"NÖTR",IF(Q200="","TEKRAR",IF(ROUND(Q200-R200,2)&gt;=0,"ONAYLANDI","TEKRAR"))))</f>
        <v>ONAYLANDI</v>
      </c>
      <c r="T200" s="8">
        <f>IF(OR(Q200="",R200=""),"",ROUND(Q200-R200,2))</f>
        <v>0</v>
      </c>
      <c r="U200" s="9"/>
    </row>
    <row r="201" spans="1:21" ht="45" x14ac:dyDescent="0.25">
      <c r="A201" s="4" t="s">
        <v>540</v>
      </c>
      <c r="B201" s="4"/>
      <c r="C201" s="5" t="s">
        <v>52</v>
      </c>
      <c r="D201" s="6">
        <v>880</v>
      </c>
      <c r="E201" s="4" t="s">
        <v>21</v>
      </c>
      <c r="F201" s="4" t="s">
        <v>532</v>
      </c>
      <c r="H201" s="35">
        <v>880</v>
      </c>
      <c r="I201" s="36" t="s">
        <v>52</v>
      </c>
      <c r="J201" s="4" t="s">
        <v>540</v>
      </c>
      <c r="K201" s="36"/>
      <c r="L201" s="4"/>
      <c r="M201" s="4" t="s">
        <v>21</v>
      </c>
      <c r="N201" s="37" t="s">
        <v>92</v>
      </c>
      <c r="O201" s="37"/>
      <c r="Q201" s="7">
        <f>IF(D201="","",D201)</f>
        <v>880</v>
      </c>
      <c r="R201" s="7">
        <f>IF(H201="","",H201)</f>
        <v>880</v>
      </c>
      <c r="S201" s="31" t="str">
        <f>IF(R201="","",IF(N(R201)=0,"NÖTR",IF(Q201="","TEKRAR",IF(ROUND(Q201-R201,2)&gt;=0,"ONAYLANDI","TEKRAR"))))</f>
        <v>ONAYLANDI</v>
      </c>
      <c r="T201" s="8">
        <f>IF(OR(Q201="",R201=""),"",ROUND(Q201-R201,2))</f>
        <v>0</v>
      </c>
      <c r="U201" s="9"/>
    </row>
    <row r="202" spans="1:21" ht="30" x14ac:dyDescent="0.25">
      <c r="A202" s="4" t="s">
        <v>541</v>
      </c>
      <c r="B202" s="4"/>
      <c r="C202" s="5" t="s">
        <v>52</v>
      </c>
      <c r="D202" s="6">
        <v>1263</v>
      </c>
      <c r="E202" s="4" t="s">
        <v>21</v>
      </c>
      <c r="F202" s="4" t="s">
        <v>542</v>
      </c>
      <c r="H202" s="35">
        <v>1263</v>
      </c>
      <c r="I202" s="36" t="s">
        <v>52</v>
      </c>
      <c r="J202" s="4" t="s">
        <v>541</v>
      </c>
      <c r="K202" s="36"/>
      <c r="L202" s="4"/>
      <c r="M202" s="4" t="s">
        <v>21</v>
      </c>
      <c r="N202" s="37" t="s">
        <v>92</v>
      </c>
      <c r="O202" s="37"/>
      <c r="Q202" s="7">
        <f>IF(D202="","",D202)</f>
        <v>1263</v>
      </c>
      <c r="R202" s="7">
        <f>IF(H202="","",H202)</f>
        <v>1263</v>
      </c>
      <c r="S202" s="31" t="str">
        <f>IF(R202="","",IF(N(R202)=0,"NÖTR",IF(Q202="","TEKRAR",IF(ROUND(Q202-R202,2)&gt;=0,"ONAYLANDI","TEKRAR"))))</f>
        <v>ONAYLANDI</v>
      </c>
      <c r="T202" s="8">
        <f>IF(OR(Q202="",R202=""),"",ROUND(Q202-R202,2))</f>
        <v>0</v>
      </c>
      <c r="U202" s="9"/>
    </row>
    <row r="203" spans="1:21" ht="30" x14ac:dyDescent="0.25">
      <c r="A203" s="4" t="s">
        <v>541</v>
      </c>
      <c r="B203" s="4"/>
      <c r="C203" s="5" t="s">
        <v>52</v>
      </c>
      <c r="D203" s="6">
        <v>646</v>
      </c>
      <c r="E203" s="4" t="s">
        <v>533</v>
      </c>
      <c r="F203" s="4" t="s">
        <v>534</v>
      </c>
      <c r="H203" s="35">
        <v>646</v>
      </c>
      <c r="I203" s="36" t="s">
        <v>52</v>
      </c>
      <c r="J203" s="4" t="s">
        <v>541</v>
      </c>
      <c r="K203" s="36"/>
      <c r="L203" s="4"/>
      <c r="M203" s="4" t="s">
        <v>533</v>
      </c>
      <c r="N203" s="37" t="s">
        <v>535</v>
      </c>
      <c r="O203" s="37"/>
      <c r="Q203" s="7">
        <f>IF(D203="","",D203)</f>
        <v>646</v>
      </c>
      <c r="R203" s="7">
        <f>IF(H203="","",H203)</f>
        <v>646</v>
      </c>
      <c r="S203" s="31" t="str">
        <f>IF(R203="","",IF(N(R203)=0,"NÖTR",IF(Q203="","TEKRAR",IF(ROUND(Q203-R203,2)&gt;=0,"ONAYLANDI","TEKRAR"))))</f>
        <v>ONAYLANDI</v>
      </c>
      <c r="T203" s="8">
        <f>IF(OR(Q203="",R203=""),"",ROUND(Q203-R203,2))</f>
        <v>0</v>
      </c>
      <c r="U203" s="9"/>
    </row>
    <row r="204" spans="1:21" ht="45" x14ac:dyDescent="0.25">
      <c r="A204" s="4" t="s">
        <v>537</v>
      </c>
      <c r="B204" s="4"/>
      <c r="C204" s="5" t="s">
        <v>52</v>
      </c>
      <c r="D204" s="6">
        <v>6171</v>
      </c>
      <c r="E204" s="4" t="s">
        <v>21</v>
      </c>
      <c r="F204" s="4" t="s">
        <v>532</v>
      </c>
      <c r="H204" s="35">
        <v>6171</v>
      </c>
      <c r="I204" s="36" t="s">
        <v>52</v>
      </c>
      <c r="J204" s="4" t="s">
        <v>537</v>
      </c>
      <c r="K204" s="36"/>
      <c r="L204" s="4"/>
      <c r="M204" s="4" t="s">
        <v>21</v>
      </c>
      <c r="N204" s="37" t="s">
        <v>154</v>
      </c>
      <c r="O204" s="37"/>
      <c r="Q204" s="7">
        <f>IF(D204="","",D204)</f>
        <v>6171</v>
      </c>
      <c r="R204" s="7">
        <f>IF(H204="","",H204)</f>
        <v>6171</v>
      </c>
      <c r="S204" s="31" t="str">
        <f>IF(R204="","",IF(N(R204)=0,"NÖTR",IF(Q204="","TEKRAR",IF(ROUND(Q204-R204,2)&gt;=0,"ONAYLANDI","TEKRAR"))))</f>
        <v>ONAYLANDI</v>
      </c>
      <c r="T204" s="8">
        <f>IF(OR(Q204="",R204=""),"",ROUND(Q204-R204,2))</f>
        <v>0</v>
      </c>
      <c r="U204" s="9"/>
    </row>
    <row r="205" spans="1:21" ht="30" x14ac:dyDescent="0.25">
      <c r="A205" s="4" t="s">
        <v>537</v>
      </c>
      <c r="B205" s="4"/>
      <c r="C205" s="5" t="s">
        <v>52</v>
      </c>
      <c r="D205" s="6">
        <v>2468</v>
      </c>
      <c r="E205" s="4" t="s">
        <v>533</v>
      </c>
      <c r="F205" s="4" t="s">
        <v>534</v>
      </c>
      <c r="H205" s="4"/>
      <c r="I205" s="36"/>
      <c r="J205" s="4"/>
      <c r="K205" s="36"/>
      <c r="L205" s="4"/>
      <c r="M205" s="4"/>
      <c r="N205" s="37" t="s">
        <v>608</v>
      </c>
      <c r="O205" s="37"/>
      <c r="Q205" s="7">
        <f>IF(D205="","",D205)</f>
        <v>2468</v>
      </c>
      <c r="R205" s="7" t="str">
        <f>IF(H205="","",H205)</f>
        <v/>
      </c>
      <c r="S205" s="31" t="str">
        <f>IF(R205="","",IF(N(R205)=0,"NÖTR",IF(Q205="","TEKRAR",IF(ROUND(Q205-R205,2)&gt;=0,"ONAYLANDI","TEKRAR"))))</f>
        <v/>
      </c>
      <c r="T205" s="8" t="str">
        <f>IF(OR(Q205="",R205=""),"",ROUND(Q205-R205,2))</f>
        <v/>
      </c>
      <c r="U205" s="9"/>
    </row>
    <row r="206" spans="1:21" ht="45" x14ac:dyDescent="0.25">
      <c r="A206" s="4" t="s">
        <v>543</v>
      </c>
      <c r="B206" s="4"/>
      <c r="C206" s="5" t="s">
        <v>52</v>
      </c>
      <c r="D206" s="6">
        <v>2626</v>
      </c>
      <c r="E206" s="4" t="s">
        <v>21</v>
      </c>
      <c r="F206" s="4" t="s">
        <v>532</v>
      </c>
      <c r="H206" s="35">
        <v>2626</v>
      </c>
      <c r="I206" s="36" t="s">
        <v>52</v>
      </c>
      <c r="J206" s="4" t="s">
        <v>543</v>
      </c>
      <c r="K206" s="36"/>
      <c r="L206" s="4"/>
      <c r="M206" s="4" t="s">
        <v>21</v>
      </c>
      <c r="N206" s="37" t="s">
        <v>154</v>
      </c>
      <c r="O206" s="37"/>
      <c r="Q206" s="7">
        <f>IF(D206="","",D206)</f>
        <v>2626</v>
      </c>
      <c r="R206" s="7">
        <f>IF(H206="","",H206)</f>
        <v>2626</v>
      </c>
      <c r="S206" s="31" t="str">
        <f>IF(R206="","",IF(N(R206)=0,"NÖTR",IF(Q206="","TEKRAR",IF(ROUND(Q206-R206,2)&gt;=0,"ONAYLANDI","TEKRAR"))))</f>
        <v>ONAYLANDI</v>
      </c>
      <c r="T206" s="8">
        <f>IF(OR(Q206="",R206=""),"",ROUND(Q206-R206,2))</f>
        <v>0</v>
      </c>
      <c r="U206" s="9"/>
    </row>
    <row r="207" spans="1:21" ht="30" x14ac:dyDescent="0.25">
      <c r="A207" s="4" t="s">
        <v>543</v>
      </c>
      <c r="B207" s="4"/>
      <c r="C207" s="5" t="s">
        <v>52</v>
      </c>
      <c r="D207" s="6">
        <v>2740</v>
      </c>
      <c r="E207" s="4" t="s">
        <v>533</v>
      </c>
      <c r="F207" s="4" t="s">
        <v>534</v>
      </c>
      <c r="H207" s="35">
        <v>2740</v>
      </c>
      <c r="I207" s="36" t="s">
        <v>52</v>
      </c>
      <c r="J207" s="4" t="s">
        <v>543</v>
      </c>
      <c r="K207" s="36"/>
      <c r="L207" s="4"/>
      <c r="M207" s="4" t="s">
        <v>533</v>
      </c>
      <c r="N207" s="37" t="s">
        <v>535</v>
      </c>
      <c r="O207" s="37"/>
      <c r="Q207" s="7">
        <f>IF(D207="","",D207)</f>
        <v>2740</v>
      </c>
      <c r="R207" s="7">
        <f>IF(H207="","",H207)</f>
        <v>2740</v>
      </c>
      <c r="S207" s="31" t="str">
        <f>IF(R207="","",IF(N(R207)=0,"NÖTR",IF(Q207="","TEKRAR",IF(ROUND(Q207-R207,2)&gt;=0,"ONAYLANDI","TEKRAR"))))</f>
        <v>ONAYLANDI</v>
      </c>
      <c r="T207" s="8">
        <f>IF(OR(Q207="",R207=""),"",ROUND(Q207-R207,2))</f>
        <v>0</v>
      </c>
      <c r="U207" s="9"/>
    </row>
    <row r="208" spans="1:21" ht="45" x14ac:dyDescent="0.25">
      <c r="A208" s="4" t="s">
        <v>544</v>
      </c>
      <c r="B208" s="4"/>
      <c r="C208" s="5" t="s">
        <v>52</v>
      </c>
      <c r="D208" s="6">
        <v>180</v>
      </c>
      <c r="E208" s="4" t="s">
        <v>21</v>
      </c>
      <c r="F208" s="4" t="s">
        <v>532</v>
      </c>
      <c r="H208" s="4"/>
      <c r="I208" s="36"/>
      <c r="J208" s="4"/>
      <c r="K208" s="36"/>
      <c r="L208" s="4"/>
      <c r="M208" s="4"/>
      <c r="N208" s="37" t="s">
        <v>608</v>
      </c>
      <c r="O208" s="37"/>
      <c r="Q208" s="7">
        <f>IF(D208="","",D208)</f>
        <v>180</v>
      </c>
      <c r="R208" s="7" t="str">
        <f>IF(H208="","",H208)</f>
        <v/>
      </c>
      <c r="S208" s="31" t="str">
        <f>IF(R208="","",IF(N(R208)=0,"NÖTR",IF(Q208="","TEKRAR",IF(ROUND(Q208-R208,2)&gt;=0,"ONAYLANDI","TEKRAR"))))</f>
        <v/>
      </c>
      <c r="T208" s="8" t="str">
        <f>IF(OR(Q208="",R208=""),"",ROUND(Q208-R208,2))</f>
        <v/>
      </c>
      <c r="U208" s="9"/>
    </row>
    <row r="209" spans="1:21" x14ac:dyDescent="0.25">
      <c r="A209" s="4" t="s">
        <v>544</v>
      </c>
      <c r="B209" s="4"/>
      <c r="C209" s="5" t="s">
        <v>52</v>
      </c>
      <c r="D209" s="6">
        <v>60</v>
      </c>
      <c r="E209" s="4" t="s">
        <v>533</v>
      </c>
      <c r="F209" s="4" t="s">
        <v>534</v>
      </c>
      <c r="H209" s="4"/>
      <c r="I209" s="36"/>
      <c r="J209" s="4"/>
      <c r="K209" s="36"/>
      <c r="L209" s="4"/>
      <c r="M209" s="4"/>
      <c r="N209" s="37" t="s">
        <v>608</v>
      </c>
      <c r="O209" s="37"/>
      <c r="Q209" s="7">
        <f>IF(D209="","",D209)</f>
        <v>60</v>
      </c>
      <c r="R209" s="7" t="str">
        <f>IF(H209="","",H209)</f>
        <v/>
      </c>
      <c r="S209" s="31" t="str">
        <f>IF(R209="","",IF(N(R209)=0,"NÖTR",IF(Q209="","TEKRAR",IF(ROUND(Q209-R209,2)&gt;=0,"ONAYLANDI","TEKRAR"))))</f>
        <v/>
      </c>
      <c r="T209" s="8" t="str">
        <f>IF(OR(Q209="",R209=""),"",ROUND(Q209-R209,2))</f>
        <v/>
      </c>
      <c r="U209" s="9"/>
    </row>
    <row r="210" spans="1:21" ht="45" x14ac:dyDescent="0.25">
      <c r="A210" s="4" t="s">
        <v>545</v>
      </c>
      <c r="B210" s="4"/>
      <c r="C210" s="5" t="s">
        <v>52</v>
      </c>
      <c r="D210" s="6">
        <v>635</v>
      </c>
      <c r="E210" s="4" t="s">
        <v>21</v>
      </c>
      <c r="F210" s="4" t="s">
        <v>532</v>
      </c>
      <c r="H210" s="35">
        <v>635</v>
      </c>
      <c r="I210" s="36" t="s">
        <v>52</v>
      </c>
      <c r="J210" s="4" t="s">
        <v>545</v>
      </c>
      <c r="K210" s="36"/>
      <c r="L210" s="4"/>
      <c r="M210" s="4" t="s">
        <v>21</v>
      </c>
      <c r="N210" s="37" t="s">
        <v>154</v>
      </c>
      <c r="O210" s="37"/>
      <c r="Q210" s="7">
        <f>IF(D210="","",D210)</f>
        <v>635</v>
      </c>
      <c r="R210" s="7">
        <f>IF(H210="","",H210)</f>
        <v>635</v>
      </c>
      <c r="S210" s="31" t="str">
        <f>IF(R210="","",IF(N(R210)=0,"NÖTR",IF(Q210="","TEKRAR",IF(ROUND(Q210-R210,2)&gt;=0,"ONAYLANDI","TEKRAR"))))</f>
        <v>ONAYLANDI</v>
      </c>
      <c r="T210" s="8">
        <f>IF(OR(Q210="",R210=""),"",ROUND(Q210-R210,2))</f>
        <v>0</v>
      </c>
      <c r="U210" s="9"/>
    </row>
    <row r="211" spans="1:21" ht="30" x14ac:dyDescent="0.25">
      <c r="A211" s="4" t="s">
        <v>545</v>
      </c>
      <c r="B211" s="4"/>
      <c r="C211" s="5" t="s">
        <v>52</v>
      </c>
      <c r="D211" s="6">
        <v>210</v>
      </c>
      <c r="E211" s="4" t="s">
        <v>533</v>
      </c>
      <c r="F211" s="4" t="s">
        <v>534</v>
      </c>
      <c r="H211" s="35">
        <v>210</v>
      </c>
      <c r="I211" s="36" t="s">
        <v>52</v>
      </c>
      <c r="J211" s="4" t="s">
        <v>545</v>
      </c>
      <c r="K211" s="36"/>
      <c r="L211" s="4"/>
      <c r="M211" s="4" t="s">
        <v>533</v>
      </c>
      <c r="N211" s="37" t="s">
        <v>535</v>
      </c>
      <c r="O211" s="37"/>
      <c r="Q211" s="7">
        <f>IF(D211="","",D211)</f>
        <v>210</v>
      </c>
      <c r="R211" s="7">
        <f>IF(H211="","",H211)</f>
        <v>210</v>
      </c>
      <c r="S211" s="31" t="str">
        <f>IF(R211="","",IF(N(R211)=0,"NÖTR",IF(Q211="","TEKRAR",IF(ROUND(Q211-R211,2)&gt;=0,"ONAYLANDI","TEKRAR"))))</f>
        <v>ONAYLANDI</v>
      </c>
      <c r="T211" s="8">
        <f>IF(OR(Q211="",R211=""),"",ROUND(Q211-R211,2))</f>
        <v>0</v>
      </c>
      <c r="U211" s="9"/>
    </row>
    <row r="212" spans="1:21" ht="30" x14ac:dyDescent="0.25">
      <c r="A212" s="4" t="s">
        <v>546</v>
      </c>
      <c r="B212" s="4"/>
      <c r="C212" s="5" t="s">
        <v>52</v>
      </c>
      <c r="D212" s="6">
        <v>40</v>
      </c>
      <c r="E212" s="4" t="s">
        <v>21</v>
      </c>
      <c r="F212" s="4" t="s">
        <v>547</v>
      </c>
      <c r="H212" s="35">
        <v>40</v>
      </c>
      <c r="I212" s="36" t="s">
        <v>52</v>
      </c>
      <c r="J212" s="4" t="s">
        <v>546</v>
      </c>
      <c r="K212" s="36"/>
      <c r="L212" s="4"/>
      <c r="M212" s="4" t="s">
        <v>21</v>
      </c>
      <c r="N212" s="37" t="s">
        <v>154</v>
      </c>
      <c r="O212" s="37"/>
      <c r="Q212" s="7">
        <f>IF(D212="","",D212)</f>
        <v>40</v>
      </c>
      <c r="R212" s="7">
        <f>IF(H212="","",H212)</f>
        <v>40</v>
      </c>
      <c r="S212" s="31" t="str">
        <f>IF(R212="","",IF(N(R212)=0,"NÖTR",IF(Q212="","TEKRAR",IF(ROUND(Q212-R212,2)&gt;=0,"ONAYLANDI","TEKRAR"))))</f>
        <v>ONAYLANDI</v>
      </c>
      <c r="T212" s="8">
        <f>IF(OR(Q212="",R212=""),"",ROUND(Q212-R212,2))</f>
        <v>0</v>
      </c>
      <c r="U212" s="9"/>
    </row>
    <row r="213" spans="1:21" x14ac:dyDescent="0.25">
      <c r="A213" s="4" t="s">
        <v>548</v>
      </c>
      <c r="B213" s="4"/>
      <c r="C213" s="5" t="s">
        <v>52</v>
      </c>
      <c r="D213" s="6">
        <v>350</v>
      </c>
      <c r="E213" s="4" t="s">
        <v>549</v>
      </c>
      <c r="F213" s="4" t="s">
        <v>550</v>
      </c>
      <c r="H213" s="4"/>
      <c r="I213" s="36"/>
      <c r="J213" s="4"/>
      <c r="K213" s="36"/>
      <c r="L213" s="4"/>
      <c r="M213" s="4"/>
      <c r="N213" s="37" t="s">
        <v>608</v>
      </c>
      <c r="O213" s="37"/>
      <c r="Q213" s="7">
        <f>IF(D213="","",D213)</f>
        <v>350</v>
      </c>
      <c r="R213" s="7" t="str">
        <f>IF(H213="","",H213)</f>
        <v/>
      </c>
      <c r="S213" s="31" t="str">
        <f>IF(R213="","",IF(N(R213)=0,"NÖTR",IF(Q213="","TEKRAR",IF(ROUND(Q213-R213,2)&gt;=0,"ONAYLANDI","TEKRAR"))))</f>
        <v/>
      </c>
      <c r="T213" s="8" t="str">
        <f>IF(OR(Q213="",R213=""),"",ROUND(Q213-R213,2))</f>
        <v/>
      </c>
      <c r="U213" s="9"/>
    </row>
    <row r="214" spans="1:21" ht="30" x14ac:dyDescent="0.25">
      <c r="A214" s="4" t="s">
        <v>551</v>
      </c>
      <c r="B214" s="4"/>
      <c r="C214" s="5" t="s">
        <v>20</v>
      </c>
      <c r="D214" s="6">
        <v>44</v>
      </c>
      <c r="E214" s="4" t="s">
        <v>81</v>
      </c>
      <c r="F214" s="4" t="s">
        <v>129</v>
      </c>
      <c r="H214" s="4"/>
      <c r="I214" s="36"/>
      <c r="J214" s="4"/>
      <c r="K214" s="36"/>
      <c r="L214" s="4"/>
      <c r="M214" s="4"/>
      <c r="N214" s="37" t="s">
        <v>608</v>
      </c>
      <c r="O214" s="37"/>
      <c r="Q214" s="7">
        <f>IF(D214="","",D214)</f>
        <v>44</v>
      </c>
      <c r="R214" s="7" t="str">
        <f>IF(H214="","",H214)</f>
        <v/>
      </c>
      <c r="S214" s="31" t="str">
        <f>IF(R214="","",IF(N(R214)=0,"NÖTR",IF(Q214="","TEKRAR",IF(ROUND(Q214-R214,2)&gt;=0,"ONAYLANDI","TEKRAR"))))</f>
        <v/>
      </c>
      <c r="T214" s="8" t="str">
        <f>IF(OR(Q214="",R214=""),"",ROUND(Q214-R214,2))</f>
        <v/>
      </c>
      <c r="U214" s="9"/>
    </row>
    <row r="215" spans="1:21" ht="45" x14ac:dyDescent="0.25">
      <c r="A215" s="4" t="s">
        <v>552</v>
      </c>
      <c r="B215" s="4"/>
      <c r="C215" s="5" t="s">
        <v>52</v>
      </c>
      <c r="D215" s="6">
        <v>150</v>
      </c>
      <c r="E215" s="4" t="s">
        <v>553</v>
      </c>
      <c r="F215" s="4" t="s">
        <v>554</v>
      </c>
      <c r="H215" s="35">
        <v>150</v>
      </c>
      <c r="I215" s="36" t="s">
        <v>52</v>
      </c>
      <c r="J215" s="4" t="s">
        <v>555</v>
      </c>
      <c r="K215" s="36"/>
      <c r="L215" s="4"/>
      <c r="M215" s="4" t="s">
        <v>553</v>
      </c>
      <c r="N215" s="37" t="s">
        <v>39</v>
      </c>
      <c r="O215" s="37"/>
      <c r="Q215" s="7">
        <f>IF(D215="","",D215)</f>
        <v>150</v>
      </c>
      <c r="R215" s="7">
        <f>IF(H215="","",H215)</f>
        <v>150</v>
      </c>
      <c r="S215" s="31" t="str">
        <f>IF(R215="","",IF(N(R215)=0,"NÖTR",IF(Q215="","TEKRAR",IF(ROUND(Q215-R215,2)&gt;=0,"ONAYLANDI","TEKRAR"))))</f>
        <v>ONAYLANDI</v>
      </c>
      <c r="T215" s="8">
        <f>IF(OR(Q215="",R215=""),"",ROUND(Q215-R215,2))</f>
        <v>0</v>
      </c>
      <c r="U215" s="9"/>
    </row>
    <row r="216" spans="1:21" ht="30" x14ac:dyDescent="0.25">
      <c r="A216" s="4" t="s">
        <v>556</v>
      </c>
      <c r="B216" s="4"/>
      <c r="C216" s="5" t="s">
        <v>27</v>
      </c>
      <c r="D216" s="6">
        <v>1303</v>
      </c>
      <c r="E216" s="4" t="s">
        <v>21</v>
      </c>
      <c r="F216" s="4" t="s">
        <v>557</v>
      </c>
      <c r="H216" s="4"/>
      <c r="I216" s="36"/>
      <c r="J216" s="4"/>
      <c r="K216" s="36"/>
      <c r="L216" s="4"/>
      <c r="M216" s="4"/>
      <c r="N216" s="37" t="s">
        <v>608</v>
      </c>
      <c r="O216" s="37"/>
      <c r="Q216" s="7">
        <f>IF(D216="","",D216)</f>
        <v>1303</v>
      </c>
      <c r="R216" s="7" t="str">
        <f>IF(H216="","",H216)</f>
        <v/>
      </c>
      <c r="S216" s="31" t="str">
        <f>IF(R216="","",IF(N(R216)=0,"NÖTR",IF(Q216="","TEKRAR",IF(ROUND(Q216-R216,2)&gt;=0,"ONAYLANDI","TEKRAR"))))</f>
        <v/>
      </c>
      <c r="T216" s="8" t="str">
        <f>IF(OR(Q216="",R216=""),"",ROUND(Q216-R216,2))</f>
        <v/>
      </c>
      <c r="U216" s="9"/>
    </row>
    <row r="217" spans="1:21" ht="60" x14ac:dyDescent="0.25">
      <c r="A217" s="4" t="s">
        <v>558</v>
      </c>
      <c r="B217" s="4"/>
      <c r="C217" s="5" t="s">
        <v>20</v>
      </c>
      <c r="D217" s="6">
        <v>1</v>
      </c>
      <c r="E217" s="4" t="s">
        <v>78</v>
      </c>
      <c r="F217" s="4">
        <v>14072026</v>
      </c>
      <c r="H217" s="35">
        <v>1</v>
      </c>
      <c r="I217" s="36" t="s">
        <v>20</v>
      </c>
      <c r="J217" s="4" t="s">
        <v>558</v>
      </c>
      <c r="K217" s="36">
        <v>9140115</v>
      </c>
      <c r="L217" s="4"/>
      <c r="M217" s="4" t="s">
        <v>78</v>
      </c>
      <c r="N217" s="37" t="s">
        <v>393</v>
      </c>
      <c r="O217" s="37"/>
      <c r="Q217" s="7">
        <f>IF(D217="","",D217)</f>
        <v>1</v>
      </c>
      <c r="R217" s="7">
        <f>IF(H217="","",H217)</f>
        <v>1</v>
      </c>
      <c r="S217" s="31" t="str">
        <f>IF(R217="","",IF(N(R217)=0,"NÖTR",IF(Q217="","TEKRAR",IF(ROUND(Q217-R217,2)&gt;=0,"ONAYLANDI","TEKRAR"))))</f>
        <v>ONAYLANDI</v>
      </c>
      <c r="T217" s="8">
        <f>IF(OR(Q217="",R217=""),"",ROUND(Q217-R217,2))</f>
        <v>0</v>
      </c>
      <c r="U217" s="9"/>
    </row>
    <row r="218" spans="1:21" ht="45" x14ac:dyDescent="0.25">
      <c r="A218" s="4" t="s">
        <v>559</v>
      </c>
      <c r="B218" s="4"/>
      <c r="C218" s="5" t="s">
        <v>52</v>
      </c>
      <c r="D218" s="6">
        <v>400</v>
      </c>
      <c r="E218" s="4" t="s">
        <v>21</v>
      </c>
      <c r="F218" s="4" t="s">
        <v>53</v>
      </c>
      <c r="H218" s="38">
        <f>298+102</f>
        <v>400</v>
      </c>
      <c r="I218" s="39" t="s">
        <v>52</v>
      </c>
      <c r="J218" s="13" t="s">
        <v>559</v>
      </c>
      <c r="K218" s="39"/>
      <c r="L218" s="13"/>
      <c r="M218" s="13" t="s">
        <v>21</v>
      </c>
      <c r="N218" s="40" t="s">
        <v>49</v>
      </c>
      <c r="O218" s="40"/>
      <c r="Q218" s="7">
        <f>IF(D218="","",D218)</f>
        <v>400</v>
      </c>
      <c r="R218" s="7">
        <f>IF(H218="","",H218)</f>
        <v>400</v>
      </c>
      <c r="S218" s="31" t="str">
        <f>IF(R218="","",IF(N(R218)=0,"NÖTR",IF(Q218="","TEKRAR",IF(ROUND(Q218-R218,2)&gt;=0,"ONAYLANDI","TEKRAR"))))</f>
        <v>ONAYLANDI</v>
      </c>
      <c r="T218" s="8">
        <f>IF(OR(Q218="",R218=""),"",ROUND(Q218-R218,2))</f>
        <v>0</v>
      </c>
      <c r="U218" s="9"/>
    </row>
    <row r="219" spans="1:21" ht="30" x14ac:dyDescent="0.25">
      <c r="A219" s="4" t="s">
        <v>560</v>
      </c>
      <c r="B219" s="4"/>
      <c r="C219" s="5" t="s">
        <v>561</v>
      </c>
      <c r="D219" s="6">
        <v>10</v>
      </c>
      <c r="E219" s="4" t="s">
        <v>209</v>
      </c>
      <c r="F219" s="4" t="s">
        <v>486</v>
      </c>
      <c r="H219" s="35">
        <v>10</v>
      </c>
      <c r="I219" s="36" t="s">
        <v>561</v>
      </c>
      <c r="J219" s="4" t="s">
        <v>560</v>
      </c>
      <c r="K219" s="36"/>
      <c r="L219" s="4"/>
      <c r="M219" s="4" t="s">
        <v>209</v>
      </c>
      <c r="N219" s="37" t="s">
        <v>154</v>
      </c>
      <c r="O219" s="37"/>
      <c r="Q219" s="7">
        <f>IF(D219="","",D219)</f>
        <v>10</v>
      </c>
      <c r="R219" s="7">
        <f>IF(H219="","",H219)</f>
        <v>10</v>
      </c>
      <c r="S219" s="31" t="str">
        <f>IF(R219="","",IF(N(R219)=0,"NÖTR",IF(Q219="","TEKRAR",IF(ROUND(Q219-R219,2)&gt;=0,"ONAYLANDI","TEKRAR"))))</f>
        <v>ONAYLANDI</v>
      </c>
      <c r="T219" s="8">
        <f>IF(OR(Q219="",R219=""),"",ROUND(Q219-R219,2))</f>
        <v>0</v>
      </c>
      <c r="U219" s="9"/>
    </row>
    <row r="220" spans="1:21" ht="285" x14ac:dyDescent="0.25">
      <c r="A220" s="4" t="s">
        <v>562</v>
      </c>
      <c r="B220" s="4"/>
      <c r="C220" s="5" t="s">
        <v>563</v>
      </c>
      <c r="D220" s="6">
        <v>21</v>
      </c>
      <c r="E220" s="4" t="s">
        <v>564</v>
      </c>
      <c r="F220" s="4" t="s">
        <v>565</v>
      </c>
      <c r="H220" s="38">
        <f>19+2</f>
        <v>21</v>
      </c>
      <c r="I220" s="39" t="s">
        <v>563</v>
      </c>
      <c r="J220" s="13" t="s">
        <v>562</v>
      </c>
      <c r="K220" s="39"/>
      <c r="L220" s="13" t="s">
        <v>566</v>
      </c>
      <c r="M220" s="13" t="s">
        <v>564</v>
      </c>
      <c r="N220" s="40" t="s">
        <v>567</v>
      </c>
      <c r="O220" s="40"/>
      <c r="Q220" s="7">
        <f>IF(D220="","",D220)</f>
        <v>21</v>
      </c>
      <c r="R220" s="7">
        <f>IF(H220="","",H220)</f>
        <v>21</v>
      </c>
      <c r="S220" s="31" t="str">
        <f>IF(R220="","",IF(N(R220)=0,"NÖTR",IF(Q220="","TEKRAR",IF(ROUND(Q220-R220,2)&gt;=0,"ONAYLANDI","TEKRAR"))))</f>
        <v>ONAYLANDI</v>
      </c>
      <c r="T220" s="8">
        <f>IF(OR(Q220="",R220=""),"",ROUND(Q220-R220,2))</f>
        <v>0</v>
      </c>
      <c r="U220" s="9"/>
    </row>
    <row r="221" spans="1:21" ht="75" x14ac:dyDescent="0.25">
      <c r="A221" s="4" t="s">
        <v>568</v>
      </c>
      <c r="B221" s="4"/>
      <c r="C221" s="5" t="s">
        <v>563</v>
      </c>
      <c r="D221" s="6">
        <v>5</v>
      </c>
      <c r="E221" s="4" t="s">
        <v>564</v>
      </c>
      <c r="F221" s="4" t="s">
        <v>29</v>
      </c>
      <c r="H221" s="35">
        <v>5</v>
      </c>
      <c r="I221" s="36" t="s">
        <v>563</v>
      </c>
      <c r="J221" s="4" t="s">
        <v>568</v>
      </c>
      <c r="K221" s="36"/>
      <c r="L221" s="4" t="s">
        <v>569</v>
      </c>
      <c r="M221" s="4" t="s">
        <v>564</v>
      </c>
      <c r="N221" s="37" t="s">
        <v>30</v>
      </c>
      <c r="O221" s="37"/>
      <c r="Q221" s="24">
        <f>IF(D221="","",D221)</f>
        <v>5</v>
      </c>
      <c r="R221" s="24">
        <f>IF(H221="","",H221)</f>
        <v>5</v>
      </c>
      <c r="S221" s="32" t="str">
        <f>IF(R221="","",IF(N(R221)=0,"NÖTR",IF(Q221="","TEKRAR",IF(ROUND(Q221-R221,2)&gt;=0,"ONAYLANDI","TEKRAR"))))</f>
        <v>ONAYLANDI</v>
      </c>
      <c r="T221" s="27">
        <f>IF(OR(Q221="",R221=""),"",ROUND(Q221-R221,2))</f>
        <v>0</v>
      </c>
      <c r="U221" s="9"/>
    </row>
    <row r="222" spans="1:21" x14ac:dyDescent="0.25">
      <c r="H222" s="43"/>
      <c r="I222" s="14"/>
      <c r="J222" s="43"/>
      <c r="K222" s="14"/>
      <c r="L222" s="43"/>
      <c r="M222" s="43"/>
      <c r="N222" s="46" t="s">
        <v>608</v>
      </c>
      <c r="O222" s="46"/>
      <c r="Q222" s="25" t="str">
        <f>IF(D222="","",D222)</f>
        <v/>
      </c>
      <c r="R222" s="25" t="str">
        <f>IF(H222="","",H222)</f>
        <v/>
      </c>
      <c r="S222" s="33" t="str">
        <f>IF(R222="","",IF(N(R222)=0,"NÖTR",IF(Q222="","TEKRAR",IF(ROUND(Q222-R222,2)&gt;=0,"ONAYLANDI","TEKRAR"))))</f>
        <v/>
      </c>
      <c r="T222" s="29" t="str">
        <f>IF(OR(Q222="",R222=""),"",ROUND(Q222-R222,2))</f>
        <v/>
      </c>
    </row>
    <row r="223" spans="1:21" x14ac:dyDescent="0.25">
      <c r="A223" s="15" t="s">
        <v>570</v>
      </c>
      <c r="B223" s="15"/>
      <c r="C223" s="15"/>
      <c r="D223" s="15"/>
      <c r="E223" s="15"/>
      <c r="F223" s="15"/>
      <c r="G223" s="15"/>
      <c r="H223" s="44"/>
      <c r="I223" s="44"/>
      <c r="J223" s="44"/>
      <c r="K223" s="44"/>
      <c r="L223" s="44"/>
      <c r="M223" s="44"/>
      <c r="N223" s="45"/>
      <c r="O223" s="45"/>
      <c r="P223" s="15"/>
      <c r="Q223" s="26"/>
      <c r="R223" s="26"/>
      <c r="S223" s="34"/>
      <c r="T223" s="30"/>
      <c r="U223" s="15"/>
    </row>
    <row r="224" spans="1:21" ht="60" x14ac:dyDescent="0.25">
      <c r="H224" s="35">
        <v>3</v>
      </c>
      <c r="I224" s="36" t="s">
        <v>331</v>
      </c>
      <c r="J224" s="4" t="s">
        <v>571</v>
      </c>
      <c r="K224" s="36">
        <v>9140113</v>
      </c>
      <c r="L224" s="4"/>
      <c r="M224" s="4" t="s">
        <v>81</v>
      </c>
      <c r="N224" s="37" t="s">
        <v>39</v>
      </c>
      <c r="O224" s="47"/>
      <c r="Q224" s="25" t="str">
        <f>IF(D224="","",D224)</f>
        <v/>
      </c>
      <c r="R224" s="25">
        <f>IF(H224="","",H224)</f>
        <v>3</v>
      </c>
      <c r="S224" s="33" t="str">
        <f>IF(R224="","",IF(N(R224)=0,"NÖTR",IF(Q224="","TEKRAR",IF(ROUND(Q224-R224,2)&gt;=0,"ONAYLANDI","TEKRAR"))))</f>
        <v>TEKRAR</v>
      </c>
      <c r="T224" s="29" t="str">
        <f>IF(OR(Q224="",R224=""),"",ROUND(Q224-R224,2))</f>
        <v/>
      </c>
      <c r="U224" s="28" t="s">
        <v>572</v>
      </c>
    </row>
    <row r="225" spans="8:21" x14ac:dyDescent="0.25">
      <c r="H225" s="35">
        <v>0</v>
      </c>
      <c r="I225" s="36" t="s">
        <v>20</v>
      </c>
      <c r="J225" s="4" t="s">
        <v>692</v>
      </c>
      <c r="K225" s="36">
        <v>4021096</v>
      </c>
      <c r="L225" s="4"/>
      <c r="M225" s="4"/>
      <c r="N225" s="37" t="s">
        <v>609</v>
      </c>
      <c r="O225" s="47"/>
      <c r="Q225" s="25" t="str">
        <f>IF(D225="","",D225)</f>
        <v/>
      </c>
      <c r="R225" s="25">
        <f>IF(H225="","",H225)</f>
        <v>0</v>
      </c>
      <c r="S225" s="33" t="str">
        <f>IF(R225="","",IF(N(R225)=0,"NÖTR",IF(Q225="","TEKRAR",IF(ROUND(Q225-R225,2)&gt;=0,"ONAYLANDI","TEKRAR"))))</f>
        <v>NÖTR</v>
      </c>
      <c r="T225" s="29" t="str">
        <f>IF(OR(Q225="",R225=""),"",ROUND(Q225-R225,2))</f>
        <v/>
      </c>
      <c r="U225" s="28" t="s">
        <v>573</v>
      </c>
    </row>
    <row r="226" spans="8:21" ht="30" x14ac:dyDescent="0.25">
      <c r="H226" s="35">
        <v>10</v>
      </c>
      <c r="I226" s="36" t="s">
        <v>20</v>
      </c>
      <c r="J226" s="4" t="s">
        <v>693</v>
      </c>
      <c r="K226" s="36">
        <v>4033128</v>
      </c>
      <c r="L226" s="4"/>
      <c r="M226" s="4"/>
      <c r="N226" s="37" t="s">
        <v>609</v>
      </c>
      <c r="O226" s="47">
        <v>20052026</v>
      </c>
      <c r="Q226" s="25" t="str">
        <f>IF(D226="","",D226)</f>
        <v/>
      </c>
      <c r="R226" s="25">
        <f>IF(H226="","",H226)</f>
        <v>10</v>
      </c>
      <c r="S226" s="33" t="str">
        <f>IF(R226="","",IF(N(R226)=0,"NÖTR",IF(Q226="","TEKRAR",IF(ROUND(Q226-R226,2)&gt;=0,"ONAYLANDI","TEKRAR"))))</f>
        <v>TEKRAR</v>
      </c>
      <c r="T226" s="29" t="str">
        <f>IF(OR(Q226="",R226=""),"",ROUND(Q226-R226,2))</f>
        <v/>
      </c>
      <c r="U226" s="28" t="s">
        <v>574</v>
      </c>
    </row>
    <row r="227" spans="8:21" ht="30" x14ac:dyDescent="0.25">
      <c r="H227" s="35">
        <v>1</v>
      </c>
      <c r="I227" s="36" t="s">
        <v>331</v>
      </c>
      <c r="J227" s="4" t="s">
        <v>694</v>
      </c>
      <c r="K227" s="36">
        <v>9140151</v>
      </c>
      <c r="L227" s="4"/>
      <c r="M227" s="4"/>
      <c r="N227" s="37" t="s">
        <v>609</v>
      </c>
      <c r="O227" s="47">
        <v>10042026</v>
      </c>
      <c r="Q227" s="25" t="str">
        <f>IF(D227="","",D227)</f>
        <v/>
      </c>
      <c r="R227" s="25">
        <f>IF(H227="","",H227)</f>
        <v>1</v>
      </c>
      <c r="S227" s="33" t="str">
        <f>IF(R227="","",IF(N(R227)=0,"NÖTR",IF(Q227="","TEKRAR",IF(ROUND(Q227-R227,2)&gt;=0,"ONAYLANDI","TEKRAR"))))</f>
        <v>TEKRAR</v>
      </c>
      <c r="T227" s="29" t="str">
        <f>IF(OR(Q227="",R227=""),"",ROUND(Q227-R227,2))</f>
        <v/>
      </c>
      <c r="U227" s="28" t="s">
        <v>575</v>
      </c>
    </row>
    <row r="228" spans="8:21" ht="30" x14ac:dyDescent="0.25">
      <c r="H228" s="35">
        <v>1</v>
      </c>
      <c r="I228" s="36" t="s">
        <v>331</v>
      </c>
      <c r="J228" s="4" t="s">
        <v>695</v>
      </c>
      <c r="K228" s="36">
        <v>9140001</v>
      </c>
      <c r="L228" s="4"/>
      <c r="M228" s="4"/>
      <c r="N228" s="37" t="s">
        <v>609</v>
      </c>
      <c r="O228" s="47" t="s">
        <v>343</v>
      </c>
      <c r="Q228" s="25" t="str">
        <f>IF(D228="","",D228)</f>
        <v/>
      </c>
      <c r="R228" s="25">
        <f>IF(H228="","",H228)</f>
        <v>1</v>
      </c>
      <c r="S228" s="33" t="str">
        <f>IF(R228="","",IF(N(R228)=0,"NÖTR",IF(Q228="","TEKRAR",IF(ROUND(Q228-R228,2)&gt;=0,"ONAYLANDI","TEKRAR"))))</f>
        <v>TEKRAR</v>
      </c>
      <c r="T228" s="29" t="str">
        <f>IF(OR(Q228="",R228=""),"",ROUND(Q228-R228,2))</f>
        <v/>
      </c>
      <c r="U228" s="28" t="s">
        <v>576</v>
      </c>
    </row>
    <row r="229" spans="8:21" ht="30" x14ac:dyDescent="0.25">
      <c r="H229" s="35">
        <v>1</v>
      </c>
      <c r="I229" s="36" t="s">
        <v>331</v>
      </c>
      <c r="J229" s="4" t="s">
        <v>696</v>
      </c>
      <c r="K229" s="36">
        <v>9140901</v>
      </c>
      <c r="L229" s="4"/>
      <c r="M229" s="4"/>
      <c r="N229" s="37" t="s">
        <v>609</v>
      </c>
      <c r="O229" s="47" t="s">
        <v>343</v>
      </c>
      <c r="Q229" s="25" t="str">
        <f>IF(D229="","",D229)</f>
        <v/>
      </c>
      <c r="R229" s="25">
        <f>IF(H229="","",H229)</f>
        <v>1</v>
      </c>
      <c r="S229" s="33" t="str">
        <f>IF(R229="","",IF(N(R229)=0,"NÖTR",IF(Q229="","TEKRAR",IF(ROUND(Q229-R229,2)&gt;=0,"ONAYLANDI","TEKRAR"))))</f>
        <v>TEKRAR</v>
      </c>
      <c r="T229" s="29" t="str">
        <f>IF(OR(Q229="",R229=""),"",ROUND(Q229-R229,2))</f>
        <v/>
      </c>
      <c r="U229" s="28" t="s">
        <v>577</v>
      </c>
    </row>
    <row r="230" spans="8:21" x14ac:dyDescent="0.25">
      <c r="H230" s="35">
        <v>0</v>
      </c>
      <c r="I230" s="36" t="s">
        <v>150</v>
      </c>
      <c r="J230" s="4" t="s">
        <v>578</v>
      </c>
      <c r="K230" s="36"/>
      <c r="L230" s="4"/>
      <c r="M230" s="4"/>
      <c r="N230" s="37" t="s">
        <v>609</v>
      </c>
      <c r="O230" s="47"/>
      <c r="Q230" s="25" t="str">
        <f>IF(D230="","",D230)</f>
        <v/>
      </c>
      <c r="R230" s="25">
        <f>IF(H230="","",H230)</f>
        <v>0</v>
      </c>
      <c r="S230" s="33" t="str">
        <f>IF(R230="","",IF(N(R230)=0,"NÖTR",IF(Q230="","TEKRAR",IF(ROUND(Q230-R230,2)&gt;=0,"ONAYLANDI","TEKRAR"))))</f>
        <v>NÖTR</v>
      </c>
      <c r="T230" s="29" t="str">
        <f>IF(OR(Q230="",R230=""),"",ROUND(Q230-R230,2))</f>
        <v/>
      </c>
      <c r="U230" s="28" t="s">
        <v>573</v>
      </c>
    </row>
    <row r="231" spans="8:21" ht="30" x14ac:dyDescent="0.25">
      <c r="H231" s="35">
        <v>0</v>
      </c>
      <c r="I231" s="36" t="s">
        <v>150</v>
      </c>
      <c r="J231" s="4" t="s">
        <v>579</v>
      </c>
      <c r="K231" s="36"/>
      <c r="L231" s="4"/>
      <c r="M231" s="4"/>
      <c r="N231" s="37" t="s">
        <v>609</v>
      </c>
      <c r="O231" s="47"/>
      <c r="Q231" s="25" t="str">
        <f>IF(D231="","",D231)</f>
        <v/>
      </c>
      <c r="R231" s="25">
        <f>IF(H231="","",H231)</f>
        <v>0</v>
      </c>
      <c r="S231" s="33" t="str">
        <f>IF(R231="","",IF(N(R231)=0,"NÖTR",IF(Q231="","TEKRAR",IF(ROUND(Q231-R231,2)&gt;=0,"ONAYLANDI","TEKRAR"))))</f>
        <v>NÖTR</v>
      </c>
      <c r="T231" s="29" t="str">
        <f>IF(OR(Q231="",R231=""),"",ROUND(Q231-R231,2))</f>
        <v/>
      </c>
      <c r="U231" s="28" t="s">
        <v>573</v>
      </c>
    </row>
    <row r="232" spans="8:21" ht="30" x14ac:dyDescent="0.25">
      <c r="H232" s="35">
        <v>0</v>
      </c>
      <c r="I232" s="36" t="s">
        <v>150</v>
      </c>
      <c r="J232" s="4" t="s">
        <v>580</v>
      </c>
      <c r="K232" s="36"/>
      <c r="L232" s="4"/>
      <c r="M232" s="4"/>
      <c r="N232" s="37" t="s">
        <v>609</v>
      </c>
      <c r="O232" s="47"/>
      <c r="Q232" s="25" t="str">
        <f>IF(D232="","",D232)</f>
        <v/>
      </c>
      <c r="R232" s="25">
        <f>IF(H232="","",H232)</f>
        <v>0</v>
      </c>
      <c r="S232" s="33" t="str">
        <f>IF(R232="","",IF(N(R232)=0,"NÖTR",IF(Q232="","TEKRAR",IF(ROUND(Q232-R232,2)&gt;=0,"ONAYLANDI","TEKRAR"))))</f>
        <v>NÖTR</v>
      </c>
      <c r="T232" s="29" t="str">
        <f>IF(OR(Q232="",R232=""),"",ROUND(Q232-R232,2))</f>
        <v/>
      </c>
      <c r="U232" s="28" t="s">
        <v>573</v>
      </c>
    </row>
    <row r="233" spans="8:21" ht="180" x14ac:dyDescent="0.25">
      <c r="H233" s="35">
        <v>0</v>
      </c>
      <c r="I233" s="36" t="s">
        <v>150</v>
      </c>
      <c r="J233" s="4" t="s">
        <v>581</v>
      </c>
      <c r="K233" s="36"/>
      <c r="L233" s="4"/>
      <c r="M233" s="4"/>
      <c r="N233" s="37" t="s">
        <v>609</v>
      </c>
      <c r="O233" s="47"/>
      <c r="Q233" s="25" t="str">
        <f>IF(D233="","",D233)</f>
        <v/>
      </c>
      <c r="R233" s="25">
        <f>IF(H233="","",H233)</f>
        <v>0</v>
      </c>
      <c r="S233" s="33" t="str">
        <f>IF(R233="","",IF(N(R233)=0,"NÖTR",IF(Q233="","TEKRAR",IF(ROUND(Q233-R233,2)&gt;=0,"ONAYLANDI","TEKRAR"))))</f>
        <v>NÖTR</v>
      </c>
      <c r="T233" s="29" t="str">
        <f>IF(OR(Q233="",R233=""),"",ROUND(Q233-R233,2))</f>
        <v/>
      </c>
      <c r="U233" s="28" t="s">
        <v>573</v>
      </c>
    </row>
    <row r="234" spans="8:21" ht="30" x14ac:dyDescent="0.25">
      <c r="H234" s="35">
        <v>0</v>
      </c>
      <c r="I234" s="36" t="s">
        <v>150</v>
      </c>
      <c r="J234" s="4" t="s">
        <v>582</v>
      </c>
      <c r="K234" s="36"/>
      <c r="L234" s="4"/>
      <c r="M234" s="4"/>
      <c r="N234" s="37" t="s">
        <v>609</v>
      </c>
      <c r="O234" s="47"/>
      <c r="Q234" s="25" t="str">
        <f>IF(D234="","",D234)</f>
        <v/>
      </c>
      <c r="R234" s="25">
        <f>IF(H234="","",H234)</f>
        <v>0</v>
      </c>
      <c r="S234" s="33" t="str">
        <f>IF(R234="","",IF(N(R234)=0,"NÖTR",IF(Q234="","TEKRAR",IF(ROUND(Q234-R234,2)&gt;=0,"ONAYLANDI","TEKRAR"))))</f>
        <v>NÖTR</v>
      </c>
      <c r="T234" s="29" t="str">
        <f>IF(OR(Q234="",R234=""),"",ROUND(Q234-R234,2))</f>
        <v/>
      </c>
      <c r="U234" s="28" t="s">
        <v>573</v>
      </c>
    </row>
    <row r="235" spans="8:21" x14ac:dyDescent="0.25">
      <c r="H235" s="35">
        <v>0</v>
      </c>
      <c r="I235" s="36" t="s">
        <v>150</v>
      </c>
      <c r="J235" s="4" t="s">
        <v>583</v>
      </c>
      <c r="K235" s="36"/>
      <c r="L235" s="4"/>
      <c r="M235" s="4"/>
      <c r="N235" s="37" t="s">
        <v>609</v>
      </c>
      <c r="O235" s="47"/>
      <c r="Q235" s="25" t="str">
        <f>IF(D235="","",D235)</f>
        <v/>
      </c>
      <c r="R235" s="25">
        <f>IF(H235="","",H235)</f>
        <v>0</v>
      </c>
      <c r="S235" s="33" t="str">
        <f>IF(R235="","",IF(N(R235)=0,"NÖTR",IF(Q235="","TEKRAR",IF(ROUND(Q235-R235,2)&gt;=0,"ONAYLANDI","TEKRAR"))))</f>
        <v>NÖTR</v>
      </c>
      <c r="T235" s="29" t="str">
        <f>IF(OR(Q235="",R235=""),"",ROUND(Q235-R235,2))</f>
        <v/>
      </c>
      <c r="U235" s="28" t="s">
        <v>573</v>
      </c>
    </row>
    <row r="236" spans="8:21" x14ac:dyDescent="0.25">
      <c r="H236" s="35">
        <v>0</v>
      </c>
      <c r="I236" s="36" t="s">
        <v>150</v>
      </c>
      <c r="J236" s="4" t="s">
        <v>584</v>
      </c>
      <c r="K236" s="36"/>
      <c r="L236" s="4"/>
      <c r="M236" s="4"/>
      <c r="N236" s="37" t="s">
        <v>609</v>
      </c>
      <c r="O236" s="47"/>
      <c r="Q236" s="25" t="str">
        <f>IF(D236="","",D236)</f>
        <v/>
      </c>
      <c r="R236" s="25">
        <f>IF(H236="","",H236)</f>
        <v>0</v>
      </c>
      <c r="S236" s="33" t="str">
        <f>IF(R236="","",IF(N(R236)=0,"NÖTR",IF(Q236="","TEKRAR",IF(ROUND(Q236-R236,2)&gt;=0,"ONAYLANDI","TEKRAR"))))</f>
        <v>NÖTR</v>
      </c>
      <c r="T236" s="29" t="str">
        <f>IF(OR(Q236="",R236=""),"",ROUND(Q236-R236,2))</f>
        <v/>
      </c>
      <c r="U236" s="28" t="s">
        <v>573</v>
      </c>
    </row>
    <row r="237" spans="8:21" x14ac:dyDescent="0.25">
      <c r="H237" s="35">
        <v>0</v>
      </c>
      <c r="I237" s="36" t="s">
        <v>150</v>
      </c>
      <c r="J237" s="4" t="s">
        <v>585</v>
      </c>
      <c r="K237" s="36"/>
      <c r="L237" s="4"/>
      <c r="M237" s="4"/>
      <c r="N237" s="37" t="s">
        <v>609</v>
      </c>
      <c r="O237" s="47"/>
      <c r="Q237" s="25" t="str">
        <f>IF(D237="","",D237)</f>
        <v/>
      </c>
      <c r="R237" s="25">
        <f>IF(H237="","",H237)</f>
        <v>0</v>
      </c>
      <c r="S237" s="33" t="str">
        <f>IF(R237="","",IF(N(R237)=0,"NÖTR",IF(Q237="","TEKRAR",IF(ROUND(Q237-R237,2)&gt;=0,"ONAYLANDI","TEKRAR"))))</f>
        <v>NÖTR</v>
      </c>
      <c r="T237" s="29" t="str">
        <f>IF(OR(Q237="",R237=""),"",ROUND(Q237-R237,2))</f>
        <v/>
      </c>
      <c r="U237" s="28" t="s">
        <v>573</v>
      </c>
    </row>
    <row r="238" spans="8:21" x14ac:dyDescent="0.25">
      <c r="H238" s="35">
        <v>0</v>
      </c>
      <c r="I238" s="36" t="s">
        <v>150</v>
      </c>
      <c r="J238" s="4" t="s">
        <v>586</v>
      </c>
      <c r="K238" s="36"/>
      <c r="L238" s="4"/>
      <c r="M238" s="4"/>
      <c r="N238" s="37" t="s">
        <v>609</v>
      </c>
      <c r="O238" s="47"/>
      <c r="Q238" s="25" t="str">
        <f>IF(D238="","",D238)</f>
        <v/>
      </c>
      <c r="R238" s="25">
        <f>IF(H238="","",H238)</f>
        <v>0</v>
      </c>
      <c r="S238" s="33" t="str">
        <f>IF(R238="","",IF(N(R238)=0,"NÖTR",IF(Q238="","TEKRAR",IF(ROUND(Q238-R238,2)&gt;=0,"ONAYLANDI","TEKRAR"))))</f>
        <v>NÖTR</v>
      </c>
      <c r="T238" s="29" t="str">
        <f>IF(OR(Q238="",R238=""),"",ROUND(Q238-R238,2))</f>
        <v/>
      </c>
      <c r="U238" s="28" t="s">
        <v>573</v>
      </c>
    </row>
    <row r="239" spans="8:21" x14ac:dyDescent="0.25">
      <c r="H239" s="35">
        <v>0</v>
      </c>
      <c r="I239" s="36" t="s">
        <v>150</v>
      </c>
      <c r="J239" s="4" t="s">
        <v>587</v>
      </c>
      <c r="K239" s="36"/>
      <c r="L239" s="4"/>
      <c r="M239" s="4"/>
      <c r="N239" s="37" t="s">
        <v>609</v>
      </c>
      <c r="O239" s="47"/>
      <c r="Q239" s="25" t="str">
        <f>IF(D239="","",D239)</f>
        <v/>
      </c>
      <c r="R239" s="25">
        <f>IF(H239="","",H239)</f>
        <v>0</v>
      </c>
      <c r="S239" s="33" t="str">
        <f>IF(R239="","",IF(N(R239)=0,"NÖTR",IF(Q239="","TEKRAR",IF(ROUND(Q239-R239,2)&gt;=0,"ONAYLANDI","TEKRAR"))))</f>
        <v>NÖTR</v>
      </c>
      <c r="T239" s="29" t="str">
        <f>IF(OR(Q239="",R239=""),"",ROUND(Q239-R239,2))</f>
        <v/>
      </c>
      <c r="U239" s="28" t="s">
        <v>573</v>
      </c>
    </row>
    <row r="240" spans="8:21" x14ac:dyDescent="0.25">
      <c r="H240" s="35">
        <v>0</v>
      </c>
      <c r="I240" s="36" t="s">
        <v>150</v>
      </c>
      <c r="J240" s="4" t="s">
        <v>588</v>
      </c>
      <c r="K240" s="36"/>
      <c r="L240" s="4"/>
      <c r="M240" s="4"/>
      <c r="N240" s="37" t="s">
        <v>609</v>
      </c>
      <c r="O240" s="47"/>
      <c r="Q240" s="25" t="str">
        <f>IF(D240="","",D240)</f>
        <v/>
      </c>
      <c r="R240" s="25">
        <f>IF(H240="","",H240)</f>
        <v>0</v>
      </c>
      <c r="S240" s="33" t="str">
        <f>IF(R240="","",IF(N(R240)=0,"NÖTR",IF(Q240="","TEKRAR",IF(ROUND(Q240-R240,2)&gt;=0,"ONAYLANDI","TEKRAR"))))</f>
        <v>NÖTR</v>
      </c>
      <c r="T240" s="29" t="str">
        <f>IF(OR(Q240="",R240=""),"",ROUND(Q240-R240,2))</f>
        <v/>
      </c>
      <c r="U240" s="28" t="s">
        <v>589</v>
      </c>
    </row>
    <row r="241" spans="8:21" ht="30" x14ac:dyDescent="0.25">
      <c r="H241" s="35">
        <v>0</v>
      </c>
      <c r="I241" s="36" t="s">
        <v>150</v>
      </c>
      <c r="J241" s="4" t="s">
        <v>697</v>
      </c>
      <c r="K241" s="36">
        <v>121575</v>
      </c>
      <c r="L241" s="4"/>
      <c r="M241" s="4"/>
      <c r="N241" s="37" t="s">
        <v>609</v>
      </c>
      <c r="O241" s="47"/>
      <c r="Q241" s="25" t="str">
        <f>IF(D241="","",D241)</f>
        <v/>
      </c>
      <c r="R241" s="25">
        <f>IF(H241="","",H241)</f>
        <v>0</v>
      </c>
      <c r="S241" s="33" t="str">
        <f>IF(R241="","",IF(N(R241)=0,"NÖTR",IF(Q241="","TEKRAR",IF(ROUND(Q241-R241,2)&gt;=0,"ONAYLANDI","TEKRAR"))))</f>
        <v>NÖTR</v>
      </c>
      <c r="T241" s="29" t="str">
        <f>IF(OR(Q241="",R241=""),"",ROUND(Q241-R241,2))</f>
        <v/>
      </c>
      <c r="U241" s="28" t="s">
        <v>573</v>
      </c>
    </row>
    <row r="242" spans="8:21" ht="30" x14ac:dyDescent="0.25">
      <c r="H242" s="35">
        <v>0</v>
      </c>
      <c r="I242" s="36" t="s">
        <v>150</v>
      </c>
      <c r="J242" s="4" t="s">
        <v>698</v>
      </c>
      <c r="K242" s="36">
        <v>121578</v>
      </c>
      <c r="L242" s="4"/>
      <c r="M242" s="4"/>
      <c r="N242" s="37" t="s">
        <v>609</v>
      </c>
      <c r="O242" s="47"/>
      <c r="Q242" s="25" t="str">
        <f>IF(D242="","",D242)</f>
        <v/>
      </c>
      <c r="R242" s="25">
        <f>IF(H242="","",H242)</f>
        <v>0</v>
      </c>
      <c r="S242" s="33" t="str">
        <f>IF(R242="","",IF(N(R242)=0,"NÖTR",IF(Q242="","TEKRAR",IF(ROUND(Q242-R242,2)&gt;=0,"ONAYLANDI","TEKRAR"))))</f>
        <v>NÖTR</v>
      </c>
      <c r="T242" s="29" t="str">
        <f>IF(OR(Q242="",R242=""),"",ROUND(Q242-R242,2))</f>
        <v/>
      </c>
      <c r="U242" s="28" t="s">
        <v>573</v>
      </c>
    </row>
    <row r="243" spans="8:21" ht="30" x14ac:dyDescent="0.25">
      <c r="H243" s="35">
        <v>0</v>
      </c>
      <c r="I243" s="36" t="s">
        <v>150</v>
      </c>
      <c r="J243" s="4" t="s">
        <v>699</v>
      </c>
      <c r="K243" s="36">
        <v>121596</v>
      </c>
      <c r="L243" s="4"/>
      <c r="M243" s="4"/>
      <c r="N243" s="37" t="s">
        <v>609</v>
      </c>
      <c r="O243" s="47"/>
      <c r="Q243" s="25" t="str">
        <f>IF(D243="","",D243)</f>
        <v/>
      </c>
      <c r="R243" s="25">
        <f>IF(H243="","",H243)</f>
        <v>0</v>
      </c>
      <c r="S243" s="33" t="str">
        <f>IF(R243="","",IF(N(R243)=0,"NÖTR",IF(Q243="","TEKRAR",IF(ROUND(Q243-R243,2)&gt;=0,"ONAYLANDI","TEKRAR"))))</f>
        <v>NÖTR</v>
      </c>
      <c r="T243" s="29" t="str">
        <f>IF(OR(Q243="",R243=""),"",ROUND(Q243-R243,2))</f>
        <v/>
      </c>
      <c r="U243" s="28" t="s">
        <v>573</v>
      </c>
    </row>
    <row r="244" spans="8:21" ht="30" x14ac:dyDescent="0.25">
      <c r="H244" s="35">
        <v>0</v>
      </c>
      <c r="I244" s="36" t="s">
        <v>150</v>
      </c>
      <c r="J244" s="4" t="s">
        <v>700</v>
      </c>
      <c r="K244" s="36">
        <v>121599</v>
      </c>
      <c r="L244" s="4"/>
      <c r="M244" s="4"/>
      <c r="N244" s="37" t="s">
        <v>609</v>
      </c>
      <c r="O244" s="47"/>
      <c r="Q244" s="25" t="str">
        <f>IF(D244="","",D244)</f>
        <v/>
      </c>
      <c r="R244" s="25">
        <f>IF(H244="","",H244)</f>
        <v>0</v>
      </c>
      <c r="S244" s="33" t="str">
        <f>IF(R244="","",IF(N(R244)=0,"NÖTR",IF(Q244="","TEKRAR",IF(ROUND(Q244-R244,2)&gt;=0,"ONAYLANDI","TEKRAR"))))</f>
        <v>NÖTR</v>
      </c>
      <c r="T244" s="29" t="str">
        <f>IF(OR(Q244="",R244=""),"",ROUND(Q244-R244,2))</f>
        <v/>
      </c>
      <c r="U244" s="28" t="s">
        <v>573</v>
      </c>
    </row>
    <row r="245" spans="8:21" ht="75" x14ac:dyDescent="0.25">
      <c r="H245" s="35">
        <v>0</v>
      </c>
      <c r="I245" s="36" t="s">
        <v>83</v>
      </c>
      <c r="J245" s="4" t="s">
        <v>590</v>
      </c>
      <c r="K245" s="36"/>
      <c r="L245" s="4"/>
      <c r="M245" s="4"/>
      <c r="N245" s="37" t="s">
        <v>609</v>
      </c>
      <c r="O245" s="47"/>
      <c r="Q245" s="25" t="str">
        <f>IF(D245="","",D245)</f>
        <v/>
      </c>
      <c r="R245" s="25">
        <f>IF(H245="","",H245)</f>
        <v>0</v>
      </c>
      <c r="S245" s="33" t="str">
        <f>IF(R245="","",IF(N(R245)=0,"NÖTR",IF(Q245="","TEKRAR",IF(ROUND(Q245-R245,2)&gt;=0,"ONAYLANDI","TEKRAR"))))</f>
        <v>NÖTR</v>
      </c>
      <c r="T245" s="29" t="str">
        <f>IF(OR(Q245="",R245=""),"",ROUND(Q245-R245,2))</f>
        <v/>
      </c>
      <c r="U245" s="28" t="s">
        <v>591</v>
      </c>
    </row>
    <row r="246" spans="8:21" x14ac:dyDescent="0.25">
      <c r="H246" s="35">
        <v>0</v>
      </c>
      <c r="I246" s="36" t="s">
        <v>83</v>
      </c>
      <c r="J246" s="4" t="s">
        <v>701</v>
      </c>
      <c r="K246" s="36">
        <v>4021074</v>
      </c>
      <c r="L246" s="4"/>
      <c r="M246" s="4"/>
      <c r="N246" s="37" t="s">
        <v>609</v>
      </c>
      <c r="O246" s="47"/>
      <c r="Q246" s="25" t="str">
        <f>IF(D246="","",D246)</f>
        <v/>
      </c>
      <c r="R246" s="25">
        <f>IF(H246="","",H246)</f>
        <v>0</v>
      </c>
      <c r="S246" s="33" t="str">
        <f>IF(R246="","",IF(N(R246)=0,"NÖTR",IF(Q246="","TEKRAR",IF(ROUND(Q246-R246,2)&gt;=0,"ONAYLANDI","TEKRAR"))))</f>
        <v>NÖTR</v>
      </c>
      <c r="T246" s="29" t="str">
        <f>IF(OR(Q246="",R246=""),"",ROUND(Q246-R246,2))</f>
        <v/>
      </c>
      <c r="U246" s="28" t="s">
        <v>573</v>
      </c>
    </row>
    <row r="247" spans="8:21" x14ac:dyDescent="0.25">
      <c r="H247" s="35">
        <v>0</v>
      </c>
      <c r="I247" s="36" t="s">
        <v>83</v>
      </c>
      <c r="J247" s="4" t="s">
        <v>702</v>
      </c>
      <c r="K247" s="36">
        <v>4021096</v>
      </c>
      <c r="L247" s="4"/>
      <c r="M247" s="4"/>
      <c r="N247" s="37" t="s">
        <v>609</v>
      </c>
      <c r="O247" s="47"/>
      <c r="Q247" s="25" t="str">
        <f>IF(D247="","",D247)</f>
        <v/>
      </c>
      <c r="R247" s="25">
        <f>IF(H247="","",H247)</f>
        <v>0</v>
      </c>
      <c r="S247" s="33" t="str">
        <f>IF(R247="","",IF(N(R247)=0,"NÖTR",IF(Q247="","TEKRAR",IF(ROUND(Q247-R247,2)&gt;=0,"ONAYLANDI","TEKRAR"))))</f>
        <v>NÖTR</v>
      </c>
      <c r="T247" s="29" t="str">
        <f>IF(OR(Q247="",R247=""),"",ROUND(Q247-R247,2))</f>
        <v/>
      </c>
      <c r="U247" s="28" t="s">
        <v>573</v>
      </c>
    </row>
    <row r="248" spans="8:21" x14ac:dyDescent="0.25">
      <c r="H248" s="35">
        <v>0</v>
      </c>
      <c r="I248" s="36" t="s">
        <v>150</v>
      </c>
      <c r="J248" s="4" t="s">
        <v>592</v>
      </c>
      <c r="K248" s="36"/>
      <c r="L248" s="4"/>
      <c r="M248" s="4"/>
      <c r="N248" s="37" t="s">
        <v>609</v>
      </c>
      <c r="O248" s="47"/>
      <c r="Q248" s="25" t="str">
        <f>IF(D248="","",D248)</f>
        <v/>
      </c>
      <c r="R248" s="25">
        <f>IF(H248="","",H248)</f>
        <v>0</v>
      </c>
      <c r="S248" s="33" t="str">
        <f>IF(R248="","",IF(N(R248)=0,"NÖTR",IF(Q248="","TEKRAR",IF(ROUND(Q248-R248,2)&gt;=0,"ONAYLANDI","TEKRAR"))))</f>
        <v>NÖTR</v>
      </c>
      <c r="T248" s="29" t="str">
        <f>IF(OR(Q248="",R248=""),"",ROUND(Q248-R248,2))</f>
        <v/>
      </c>
      <c r="U248" s="28" t="s">
        <v>573</v>
      </c>
    </row>
    <row r="249" spans="8:21" x14ac:dyDescent="0.25">
      <c r="H249" s="35">
        <v>0</v>
      </c>
      <c r="I249" s="36" t="s">
        <v>150</v>
      </c>
      <c r="J249" s="4" t="s">
        <v>593</v>
      </c>
      <c r="K249" s="36"/>
      <c r="L249" s="4"/>
      <c r="M249" s="4"/>
      <c r="N249" s="37" t="s">
        <v>609</v>
      </c>
      <c r="O249" s="47"/>
      <c r="Q249" s="25" t="str">
        <f>IF(D249="","",D249)</f>
        <v/>
      </c>
      <c r="R249" s="25">
        <f>IF(H249="","",H249)</f>
        <v>0</v>
      </c>
      <c r="S249" s="33" t="str">
        <f>IF(R249="","",IF(N(R249)=0,"NÖTR",IF(Q249="","TEKRAR",IF(ROUND(Q249-R249,2)&gt;=0,"ONAYLANDI","TEKRAR"))))</f>
        <v>NÖTR</v>
      </c>
      <c r="T249" s="29" t="str">
        <f>IF(OR(Q249="",R249=""),"",ROUND(Q249-R249,2))</f>
        <v/>
      </c>
      <c r="U249" s="28" t="s">
        <v>573</v>
      </c>
    </row>
    <row r="250" spans="8:21" x14ac:dyDescent="0.25">
      <c r="H250" s="35">
        <v>0</v>
      </c>
      <c r="I250" s="36" t="s">
        <v>150</v>
      </c>
      <c r="J250" s="4" t="s">
        <v>594</v>
      </c>
      <c r="K250" s="36"/>
      <c r="L250" s="4"/>
      <c r="M250" s="4"/>
      <c r="N250" s="37" t="s">
        <v>609</v>
      </c>
      <c r="O250" s="47"/>
      <c r="Q250" s="25" t="str">
        <f>IF(D250="","",D250)</f>
        <v/>
      </c>
      <c r="R250" s="25">
        <f>IF(H250="","",H250)</f>
        <v>0</v>
      </c>
      <c r="S250" s="33" t="str">
        <f>IF(R250="","",IF(N(R250)=0,"NÖTR",IF(Q250="","TEKRAR",IF(ROUND(Q250-R250,2)&gt;=0,"ONAYLANDI","TEKRAR"))))</f>
        <v>NÖTR</v>
      </c>
      <c r="T250" s="29" t="str">
        <f>IF(OR(Q250="",R250=""),"",ROUND(Q250-R250,2))</f>
        <v/>
      </c>
      <c r="U250" s="28" t="s">
        <v>573</v>
      </c>
    </row>
    <row r="251" spans="8:21" x14ac:dyDescent="0.25">
      <c r="H251" s="35">
        <v>0</v>
      </c>
      <c r="I251" s="36" t="s">
        <v>150</v>
      </c>
      <c r="J251" s="4" t="s">
        <v>595</v>
      </c>
      <c r="K251" s="36"/>
      <c r="L251" s="4"/>
      <c r="M251" s="4"/>
      <c r="N251" s="37" t="s">
        <v>609</v>
      </c>
      <c r="O251" s="47"/>
      <c r="Q251" s="25" t="str">
        <f>IF(D251="","",D251)</f>
        <v/>
      </c>
      <c r="R251" s="25">
        <f>IF(H251="","",H251)</f>
        <v>0</v>
      </c>
      <c r="S251" s="33" t="str">
        <f>IF(R251="","",IF(N(R251)=0,"NÖTR",IF(Q251="","TEKRAR",IF(ROUND(Q251-R251,2)&gt;=0,"ONAYLANDI","TEKRAR"))))</f>
        <v>NÖTR</v>
      </c>
      <c r="T251" s="29" t="str">
        <f>IF(OR(Q251="",R251=""),"",ROUND(Q251-R251,2))</f>
        <v/>
      </c>
      <c r="U251" s="28" t="s">
        <v>573</v>
      </c>
    </row>
    <row r="252" spans="8:21" x14ac:dyDescent="0.25">
      <c r="H252" s="35">
        <v>0</v>
      </c>
      <c r="I252" s="36" t="s">
        <v>150</v>
      </c>
      <c r="J252" s="4" t="s">
        <v>596</v>
      </c>
      <c r="K252" s="36"/>
      <c r="L252" s="4"/>
      <c r="M252" s="4"/>
      <c r="N252" s="37" t="s">
        <v>609</v>
      </c>
      <c r="O252" s="47"/>
      <c r="Q252" s="25" t="str">
        <f>IF(D252="","",D252)</f>
        <v/>
      </c>
      <c r="R252" s="25">
        <f>IF(H252="","",H252)</f>
        <v>0</v>
      </c>
      <c r="S252" s="33" t="str">
        <f>IF(R252="","",IF(N(R252)=0,"NÖTR",IF(Q252="","TEKRAR",IF(ROUND(Q252-R252,2)&gt;=0,"ONAYLANDI","TEKRAR"))))</f>
        <v>NÖTR</v>
      </c>
      <c r="T252" s="29" t="str">
        <f>IF(OR(Q252="",R252=""),"",ROUND(Q252-R252,2))</f>
        <v/>
      </c>
      <c r="U252" s="28" t="s">
        <v>573</v>
      </c>
    </row>
  </sheetData>
  <autoFilter ref="A3:U221" xr:uid="{00000000-0009-0000-0000-000000000000}"/>
  <mergeCells count="6">
    <mergeCell ref="A223:U223"/>
    <mergeCell ref="A1:U1"/>
    <mergeCell ref="A2:F2"/>
    <mergeCell ref="H2:N2"/>
    <mergeCell ref="U2:U3"/>
    <mergeCell ref="Q2:T2"/>
  </mergeCells>
  <conditionalFormatting sqref="R4:R252">
    <cfRule type="expression" dxfId="6" priority="6">
      <formula>R4=""</formula>
    </cfRule>
  </conditionalFormatting>
  <conditionalFormatting sqref="S4:S252">
    <cfRule type="expression" dxfId="5" priority="2">
      <formula>S4="ONAYLANDI"</formula>
    </cfRule>
    <cfRule type="expression" dxfId="4" priority="3">
      <formula>S4="TEKRAR"</formula>
    </cfRule>
  </conditionalFormatting>
  <conditionalFormatting sqref="T4:T252">
    <cfRule type="expression" dxfId="2" priority="5">
      <formula>AND(T4&lt;&gt;"",T4=0)</formula>
    </cfRule>
  </conditionalFormatting>
  <conditionalFormatting sqref="T4:T252">
    <cfRule type="expression" dxfId="1" priority="4">
      <formula>AND(T4&lt;&gt;"",T4&lt;&gt;0)</formula>
    </cfRule>
  </conditionalFormatting>
  <conditionalFormatting sqref="S4:S252">
    <cfRule type="expression" dxfId="0" priority="7">
      <formula>S4="NÖTR"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Karşılaştırma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Mahmut Üstübi</dc:creator>
  <dc:description/>
  <cp:lastModifiedBy>Mahmut Üstübi</cp:lastModifiedBy>
  <cp:revision>0</cp:revision>
  <dcterms:created xsi:type="dcterms:W3CDTF">2015-06-05T18:19:34Z</dcterms:created>
  <dcterms:modified xsi:type="dcterms:W3CDTF">2026-10-01T10:14:00Z</dcterms:modified>
  <dc:language>en-US</dc:language>
</cp:coreProperties>
</file>